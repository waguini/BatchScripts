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gor.de.a.cidade\Documents\Process Folder Generator - OSS\templates\01_Documentacao\00 - AM 125\"/>
    </mc:Choice>
  </mc:AlternateContent>
  <bookViews>
    <workbookView xWindow="525" yWindow="285" windowWidth="15360" windowHeight="8325" tabRatio="837" activeTab="5"/>
  </bookViews>
  <sheets>
    <sheet name="Sumário" sheetId="19" r:id="rId1"/>
    <sheet name="Detalhamento" sheetId="14" r:id="rId2"/>
    <sheet name="Avaliação" sheetId="23" r:id="rId3"/>
    <sheet name="RESUMO-CLIENTE" sheetId="24" r:id="rId4"/>
    <sheet name="Checklist" sheetId="7" r:id="rId5"/>
    <sheet name="Fatores" sheetId="25" r:id="rId6"/>
    <sheet name="Fatores por tecnologia" sheetId="11" state="hidden" r:id="rId7"/>
    <sheet name="Configs" sheetId="20" r:id="rId8"/>
    <sheet name="Log de Alterações" sheetId="18" state="hidden" r:id="rId9"/>
  </sheets>
  <externalReferences>
    <externalReference r:id="rId10"/>
  </externalReferences>
  <definedNames>
    <definedName name="_xlnm._FilterDatabase" localSheetId="1" hidden="1">Detalhamento!#REF!</definedName>
    <definedName name="_xlnm._FilterDatabase" localSheetId="5" hidden="1">Fatores!$B$1:$H$2242</definedName>
    <definedName name="_xlnm._FilterDatabase" localSheetId="6" hidden="1">'Fatores por tecnologia'!$A$1:$F$1</definedName>
    <definedName name="CodAtv">[1]Apontamento!$AN$10:$AN$25</definedName>
    <definedName name="complex_alt">Fatores!$F:$F</definedName>
    <definedName name="complex_prog">Fatores!$E:$E</definedName>
    <definedName name="esforco">Fatores!$G:$G</definedName>
    <definedName name="Fator">Fatores!$C:$C</definedName>
    <definedName name="obs">Fatores!$H:$H</definedName>
    <definedName name="Sistema">Fatores!$B:$B</definedName>
    <definedName name="Tipo">Fatores!$D:$D</definedName>
  </definedNames>
  <calcPr calcId="171027"/>
</workbook>
</file>

<file path=xl/calcChain.xml><?xml version="1.0" encoding="utf-8"?>
<calcChain xmlns="http://schemas.openxmlformats.org/spreadsheetml/2006/main">
  <c r="A2242" i="25" l="1"/>
  <c r="A2241" i="25"/>
  <c r="A2240" i="25"/>
  <c r="A2239" i="25"/>
  <c r="A2238" i="25"/>
  <c r="A2237" i="25"/>
  <c r="A2236" i="25"/>
  <c r="A2235" i="25"/>
  <c r="A2234" i="25"/>
  <c r="A2233" i="25"/>
  <c r="A2232" i="25"/>
  <c r="A2231" i="25"/>
  <c r="A2230" i="25"/>
  <c r="A2229" i="25"/>
  <c r="A2228" i="25"/>
  <c r="A2227" i="25"/>
  <c r="A2226" i="25"/>
  <c r="A2225" i="25"/>
  <c r="A2224" i="25"/>
  <c r="A2223" i="25"/>
  <c r="A2222" i="25"/>
  <c r="A2221" i="25"/>
  <c r="A2220" i="25"/>
  <c r="A2219" i="25"/>
  <c r="A2218" i="25"/>
  <c r="A2217" i="25"/>
  <c r="A2216" i="25"/>
  <c r="A2215" i="25"/>
  <c r="A2214" i="25"/>
  <c r="A2213" i="25"/>
  <c r="A2212" i="25"/>
  <c r="A2211" i="25"/>
  <c r="A2210" i="25"/>
  <c r="A2209" i="25"/>
  <c r="A2208" i="25"/>
  <c r="A2207" i="25"/>
  <c r="A2206" i="25"/>
  <c r="A2205" i="25"/>
  <c r="A2204" i="25"/>
  <c r="A2203" i="25"/>
  <c r="A2202" i="25"/>
  <c r="A2201" i="25"/>
  <c r="A2200" i="25"/>
  <c r="A2199" i="25"/>
  <c r="A2198" i="25"/>
  <c r="A2197" i="25"/>
  <c r="A2196" i="25"/>
  <c r="A2195" i="25"/>
  <c r="A2194" i="25"/>
  <c r="A2193" i="25"/>
  <c r="A2192" i="25"/>
  <c r="A2191" i="25"/>
  <c r="A2190" i="25"/>
  <c r="A2189" i="25"/>
  <c r="A2188" i="25"/>
  <c r="A2187" i="25"/>
  <c r="A2186" i="25"/>
  <c r="A2185" i="25"/>
  <c r="A2184" i="25"/>
  <c r="A2183" i="25"/>
  <c r="A2182" i="25"/>
  <c r="A2181" i="25"/>
  <c r="A2180" i="25"/>
  <c r="A2179" i="25"/>
  <c r="A2178" i="25"/>
  <c r="A2177" i="25"/>
  <c r="A2176" i="25"/>
  <c r="A2175" i="25"/>
  <c r="A2174" i="25"/>
  <c r="A2173" i="25"/>
  <c r="A2172" i="25"/>
  <c r="A2171" i="25"/>
  <c r="A2170" i="25"/>
  <c r="A2169" i="25"/>
  <c r="A2168" i="25"/>
  <c r="A2167" i="25"/>
  <c r="A2166" i="25"/>
  <c r="A2165" i="25"/>
  <c r="A2164" i="25"/>
  <c r="A2163" i="25"/>
  <c r="A2162" i="25"/>
  <c r="A2161" i="25"/>
  <c r="A2160" i="25"/>
  <c r="A2159" i="25"/>
  <c r="A2158" i="25"/>
  <c r="A2157" i="25"/>
  <c r="A2156" i="25"/>
  <c r="A2155" i="25"/>
  <c r="A2154" i="25"/>
  <c r="A2153" i="25"/>
  <c r="A2152" i="25"/>
  <c r="A2151" i="25"/>
  <c r="A2150" i="25"/>
  <c r="A2149" i="25"/>
  <c r="A2148" i="25"/>
  <c r="A2147" i="25"/>
  <c r="A2146" i="25"/>
  <c r="A2145" i="25"/>
  <c r="A2144" i="25"/>
  <c r="A2143" i="25"/>
  <c r="A2142" i="25"/>
  <c r="A2141" i="25"/>
  <c r="A2140" i="25"/>
  <c r="A2139" i="25"/>
  <c r="A2138" i="25"/>
  <c r="A2137" i="25"/>
  <c r="A2136" i="25"/>
  <c r="A2135" i="25"/>
  <c r="A2134" i="25"/>
  <c r="A2133" i="25"/>
  <c r="A2132" i="25"/>
  <c r="A2131" i="25"/>
  <c r="A2130" i="25"/>
  <c r="A2129" i="25"/>
  <c r="A2128" i="25"/>
  <c r="A2127" i="25"/>
  <c r="A2126" i="25"/>
  <c r="A2125" i="25"/>
  <c r="A2124" i="25"/>
  <c r="A2123" i="25"/>
  <c r="A2122" i="25"/>
  <c r="A2121" i="25"/>
  <c r="A2120" i="25"/>
  <c r="A2119" i="25"/>
  <c r="A2118" i="25"/>
  <c r="A2117" i="25"/>
  <c r="A2116" i="25"/>
  <c r="A2115" i="25"/>
  <c r="A2114" i="25"/>
  <c r="A2113" i="25"/>
  <c r="A2112" i="25"/>
  <c r="A2111" i="25"/>
  <c r="A2110" i="25" l="1"/>
  <c r="A2109" i="25"/>
  <c r="A2108" i="25"/>
  <c r="A2107" i="25"/>
  <c r="A2106" i="25"/>
  <c r="A2105" i="25"/>
  <c r="A2104" i="25"/>
  <c r="A2103" i="25"/>
  <c r="A2102" i="25"/>
  <c r="A2101" i="25"/>
  <c r="A2100" i="25"/>
  <c r="A2099" i="25"/>
  <c r="A2098" i="25"/>
  <c r="A2097" i="25"/>
  <c r="A2096" i="25"/>
  <c r="A2095" i="25"/>
  <c r="A2094" i="25"/>
  <c r="A2093" i="25"/>
  <c r="A2092" i="25"/>
  <c r="A2091" i="25"/>
  <c r="A2090" i="25"/>
  <c r="A2089" i="25"/>
  <c r="A2088" i="25"/>
  <c r="A2087" i="25"/>
  <c r="A2086" i="25"/>
  <c r="A2085" i="25"/>
  <c r="A2084" i="25"/>
  <c r="A2083" i="25"/>
  <c r="A2082" i="25"/>
  <c r="A2081" i="25"/>
  <c r="A2080" i="25"/>
  <c r="A2079" i="25"/>
  <c r="A2078" i="25"/>
  <c r="A2077" i="25"/>
  <c r="A2076" i="25"/>
  <c r="A2075" i="25"/>
  <c r="A2074" i="25"/>
  <c r="A2073" i="25"/>
  <c r="A2072" i="25"/>
  <c r="A2071" i="25"/>
  <c r="A2070" i="25"/>
  <c r="A2069" i="25"/>
  <c r="A2068" i="25"/>
  <c r="A2067" i="25"/>
  <c r="A2066" i="25"/>
  <c r="A2065" i="25"/>
  <c r="A2064" i="25"/>
  <c r="A2063" i="25"/>
  <c r="A2062" i="25"/>
  <c r="A2061" i="25"/>
  <c r="A2060" i="25"/>
  <c r="A2059" i="25"/>
  <c r="A2058" i="25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A2041" i="25"/>
  <c r="A2040" i="25"/>
  <c r="A2039" i="25"/>
  <c r="A2038" i="25"/>
  <c r="A2037" i="25"/>
  <c r="A2036" i="25"/>
  <c r="A2035" i="25"/>
  <c r="A2034" i="25"/>
  <c r="A2033" i="25"/>
  <c r="A2032" i="25"/>
  <c r="A2031" i="25"/>
  <c r="A2030" i="25"/>
  <c r="A2029" i="25"/>
  <c r="A2028" i="25"/>
  <c r="A2027" i="25"/>
  <c r="A2026" i="25"/>
  <c r="A2025" i="25"/>
  <c r="A2024" i="25"/>
  <c r="A2023" i="25"/>
  <c r="A2022" i="25"/>
  <c r="A2021" i="25"/>
  <c r="A2020" i="25"/>
  <c r="A2019" i="25"/>
  <c r="A2018" i="25"/>
  <c r="A2017" i="25"/>
  <c r="A2016" i="25"/>
  <c r="A2015" i="25"/>
  <c r="A2014" i="25"/>
  <c r="A2013" i="25"/>
  <c r="A2012" i="25"/>
  <c r="A2011" i="25"/>
  <c r="A2010" i="25"/>
  <c r="A2009" i="25"/>
  <c r="A2008" i="25"/>
  <c r="A2007" i="25"/>
  <c r="A2006" i="25"/>
  <c r="A2005" i="25"/>
  <c r="A2004" i="25"/>
  <c r="A2003" i="25"/>
  <c r="A2002" i="25"/>
  <c r="A2001" i="25"/>
  <c r="A2000" i="25"/>
  <c r="A1999" i="25"/>
  <c r="A1998" i="25"/>
  <c r="A1997" i="25"/>
  <c r="A1996" i="25"/>
  <c r="A1995" i="25"/>
  <c r="A1994" i="25"/>
  <c r="A1993" i="25"/>
  <c r="A1992" i="25"/>
  <c r="A1991" i="25"/>
  <c r="A1990" i="25"/>
  <c r="A1989" i="25"/>
  <c r="A1988" i="25"/>
  <c r="A1987" i="25"/>
  <c r="A1986" i="25"/>
  <c r="A1985" i="25"/>
  <c r="A1984" i="25"/>
  <c r="A1983" i="25"/>
  <c r="A1982" i="25"/>
  <c r="A1981" i="25"/>
  <c r="A1980" i="25"/>
  <c r="A1979" i="25"/>
  <c r="A1978" i="25"/>
  <c r="A1977" i="25"/>
  <c r="A1976" i="25"/>
  <c r="A1975" i="25"/>
  <c r="A1974" i="25"/>
  <c r="A1973" i="25"/>
  <c r="A1972" i="25"/>
  <c r="A1971" i="25"/>
  <c r="A1970" i="25"/>
  <c r="A1969" i="25"/>
  <c r="A1968" i="25"/>
  <c r="A1967" i="25"/>
  <c r="A1477" i="25"/>
  <c r="A1476" i="25" l="1"/>
  <c r="A1475" i="25"/>
  <c r="A1474" i="25"/>
  <c r="A1473" i="25"/>
  <c r="A1472" i="25"/>
  <c r="A1471" i="25"/>
  <c r="A1470" i="25"/>
  <c r="A1469" i="25"/>
  <c r="A1468" i="25"/>
  <c r="A1467" i="25"/>
  <c r="A1466" i="25"/>
  <c r="A1465" i="25"/>
  <c r="A1464" i="25"/>
  <c r="A1463" i="25"/>
  <c r="A1462" i="25"/>
  <c r="A1461" i="25"/>
  <c r="A1460" i="25"/>
  <c r="A1459" i="25"/>
  <c r="A1458" i="25"/>
  <c r="A1457" i="25"/>
  <c r="A1456" i="25"/>
  <c r="A1455" i="25"/>
  <c r="A1454" i="25"/>
  <c r="A1453" i="25"/>
  <c r="A1452" i="25"/>
  <c r="A1451" i="25"/>
  <c r="A1450" i="25"/>
  <c r="A1449" i="25"/>
  <c r="A1448" i="25"/>
  <c r="A1447" i="25"/>
  <c r="A1446" i="25"/>
  <c r="A1445" i="25"/>
  <c r="A1444" i="25"/>
  <c r="A1443" i="25"/>
  <c r="A1442" i="25"/>
  <c r="A1441" i="25"/>
  <c r="A1440" i="25"/>
  <c r="A1439" i="25"/>
  <c r="A1438" i="25"/>
  <c r="A1437" i="25"/>
  <c r="A1436" i="25"/>
  <c r="A1435" i="25"/>
  <c r="A1434" i="25"/>
  <c r="A1433" i="25"/>
  <c r="A1432" i="25"/>
  <c r="A1431" i="25"/>
  <c r="A1430" i="25"/>
  <c r="A1429" i="25"/>
  <c r="A1428" i="25"/>
  <c r="A1427" i="25"/>
  <c r="A1426" i="25"/>
  <c r="A1425" i="25"/>
  <c r="A1424" i="25"/>
  <c r="A1423" i="25"/>
  <c r="A1422" i="25"/>
  <c r="A1421" i="25"/>
  <c r="A1420" i="25"/>
  <c r="A1419" i="25"/>
  <c r="A1418" i="25"/>
  <c r="A1417" i="25"/>
  <c r="A1416" i="25"/>
  <c r="A1415" i="25"/>
  <c r="A1414" i="25"/>
  <c r="A1413" i="25"/>
  <c r="A1412" i="25"/>
  <c r="A1411" i="25"/>
  <c r="A1410" i="25"/>
  <c r="A1409" i="25"/>
  <c r="A1408" i="25"/>
  <c r="A1407" i="25"/>
  <c r="A1406" i="25"/>
  <c r="A1405" i="25"/>
  <c r="A1404" i="25"/>
  <c r="A1403" i="25"/>
  <c r="A1402" i="25"/>
  <c r="A1401" i="25"/>
  <c r="A1400" i="25"/>
  <c r="A1399" i="25"/>
  <c r="A1398" i="25"/>
  <c r="A1397" i="25"/>
  <c r="A1396" i="25"/>
  <c r="A1395" i="25"/>
  <c r="A1394" i="25"/>
  <c r="A1393" i="25"/>
  <c r="A1392" i="25"/>
  <c r="A1391" i="25"/>
  <c r="A1390" i="25"/>
  <c r="A1389" i="25"/>
  <c r="A1388" i="25"/>
  <c r="A1387" i="25"/>
  <c r="A1386" i="25"/>
  <c r="A1385" i="25"/>
  <c r="A1384" i="25"/>
  <c r="A1383" i="25"/>
  <c r="A1382" i="25"/>
  <c r="A1381" i="25"/>
  <c r="A1380" i="25"/>
  <c r="A1379" i="25"/>
  <c r="A1378" i="25"/>
  <c r="A1377" i="25"/>
  <c r="A1376" i="25"/>
  <c r="A1375" i="25"/>
  <c r="A1374" i="25"/>
  <c r="A1373" i="25"/>
  <c r="A1372" i="25"/>
  <c r="A1371" i="25"/>
  <c r="A1370" i="25"/>
  <c r="A1369" i="25"/>
  <c r="A1368" i="25"/>
  <c r="A1367" i="25"/>
  <c r="A1366" i="25"/>
  <c r="A1365" i="25"/>
  <c r="A1364" i="25"/>
  <c r="A1363" i="25"/>
  <c r="A1362" i="25"/>
  <c r="A1361" i="25"/>
  <c r="A1360" i="25"/>
  <c r="A1359" i="25"/>
  <c r="A1358" i="25"/>
  <c r="A1357" i="25"/>
  <c r="A1356" i="25"/>
  <c r="A1355" i="25"/>
  <c r="A1354" i="25"/>
  <c r="A1353" i="25"/>
  <c r="A1352" i="25"/>
  <c r="A1351" i="25"/>
  <c r="A1350" i="25"/>
  <c r="A1349" i="25"/>
  <c r="A1348" i="25"/>
  <c r="A1347" i="25"/>
  <c r="A1346" i="25"/>
  <c r="A1345" i="25"/>
  <c r="A1344" i="25"/>
  <c r="A1343" i="25"/>
  <c r="A1342" i="25"/>
  <c r="A1341" i="25"/>
  <c r="A1340" i="25"/>
  <c r="A1339" i="25"/>
  <c r="A1338" i="25"/>
  <c r="A1337" i="25"/>
  <c r="A1336" i="25"/>
  <c r="A1335" i="25"/>
  <c r="A1334" i="25"/>
  <c r="A1333" i="25"/>
  <c r="A1332" i="25"/>
  <c r="A1331" i="25"/>
  <c r="A1330" i="25"/>
  <c r="A1329" i="25"/>
  <c r="A1328" i="25"/>
  <c r="A1327" i="25"/>
  <c r="A1326" i="25"/>
  <c r="A1325" i="25"/>
  <c r="A1324" i="25"/>
  <c r="A1323" i="25"/>
  <c r="A1322" i="25"/>
  <c r="A1321" i="25"/>
  <c r="A1320" i="25"/>
  <c r="A1319" i="25"/>
  <c r="A1318" i="25"/>
  <c r="A1317" i="25"/>
  <c r="A1316" i="25"/>
  <c r="A1315" i="25"/>
  <c r="A1314" i="25"/>
  <c r="A1313" i="25"/>
  <c r="A1312" i="25"/>
  <c r="A1311" i="25"/>
  <c r="A1310" i="25"/>
  <c r="A1309" i="25"/>
  <c r="A1308" i="25"/>
  <c r="A1307" i="25"/>
  <c r="A1306" i="25"/>
  <c r="A1305" i="25"/>
  <c r="A1304" i="25"/>
  <c r="A1303" i="25"/>
  <c r="A1302" i="25"/>
  <c r="A1301" i="25"/>
  <c r="A1300" i="25"/>
  <c r="A1299" i="25"/>
  <c r="A1298" i="25"/>
  <c r="A1297" i="25"/>
  <c r="A1296" i="25"/>
  <c r="A1295" i="25"/>
  <c r="A1294" i="25"/>
  <c r="A1293" i="25"/>
  <c r="A1292" i="25"/>
  <c r="A1291" i="25"/>
  <c r="A1290" i="25"/>
  <c r="A1289" i="25"/>
  <c r="A1288" i="25"/>
  <c r="A1287" i="25"/>
  <c r="A1286" i="25"/>
  <c r="A1285" i="25"/>
  <c r="A1284" i="25"/>
  <c r="A1283" i="25"/>
  <c r="A1282" i="25"/>
  <c r="A1281" i="25"/>
  <c r="A1280" i="25"/>
  <c r="A1279" i="25"/>
  <c r="A1278" i="25"/>
  <c r="A1277" i="25"/>
  <c r="A1276" i="25"/>
  <c r="A1275" i="25"/>
  <c r="A1274" i="25"/>
  <c r="A1273" i="25"/>
  <c r="A1272" i="25"/>
  <c r="A1271" i="25"/>
  <c r="A1270" i="25"/>
  <c r="A1269" i="25"/>
  <c r="A1268" i="25"/>
  <c r="A1267" i="25"/>
  <c r="A1266" i="25"/>
  <c r="A1265" i="25"/>
  <c r="A1264" i="25"/>
  <c r="A1263" i="25"/>
  <c r="A1262" i="25"/>
  <c r="A1261" i="25"/>
  <c r="A1260" i="25"/>
  <c r="A1259" i="25"/>
  <c r="A1258" i="25"/>
  <c r="A1257" i="25"/>
  <c r="A1256" i="25"/>
  <c r="A1255" i="25"/>
  <c r="A1254" i="25"/>
  <c r="A1253" i="25"/>
  <c r="A1252" i="25"/>
  <c r="A1251" i="25"/>
  <c r="A1250" i="25"/>
  <c r="A1249" i="25"/>
  <c r="A1248" i="25"/>
  <c r="A1247" i="25"/>
  <c r="A1246" i="25"/>
  <c r="A1245" i="25"/>
  <c r="A1244" i="25"/>
  <c r="A1243" i="25"/>
  <c r="A1242" i="25"/>
  <c r="A1241" i="25"/>
  <c r="A1240" i="25"/>
  <c r="A1239" i="25"/>
  <c r="A1238" i="25"/>
  <c r="A1237" i="25"/>
  <c r="A1236" i="25"/>
  <c r="A1235" i="25"/>
  <c r="A1234" i="25"/>
  <c r="A1233" i="25"/>
  <c r="A1232" i="25"/>
  <c r="A1231" i="25"/>
  <c r="A1230" i="25"/>
  <c r="A1229" i="25"/>
  <c r="A1228" i="25"/>
  <c r="A1227" i="25"/>
  <c r="A1226" i="25"/>
  <c r="A1225" i="25"/>
  <c r="A1224" i="25"/>
  <c r="A1223" i="25"/>
  <c r="A1222" i="25"/>
  <c r="A1221" i="25"/>
  <c r="A1220" i="25"/>
  <c r="A1219" i="25"/>
  <c r="A1218" i="25"/>
  <c r="A1217" i="25"/>
  <c r="A1216" i="25"/>
  <c r="A1215" i="25"/>
  <c r="A1214" i="25"/>
  <c r="A1213" i="25"/>
  <c r="A1212" i="25"/>
  <c r="A1211" i="25"/>
  <c r="A1210" i="25"/>
  <c r="A1209" i="25"/>
  <c r="A1208" i="25"/>
  <c r="A1207" i="25"/>
  <c r="A1206" i="25"/>
  <c r="A1205" i="25"/>
  <c r="A1204" i="25"/>
  <c r="A1203" i="25"/>
  <c r="A1202" i="25"/>
  <c r="A1201" i="25"/>
  <c r="A1200" i="25"/>
  <c r="A1199" i="25"/>
  <c r="A1198" i="25"/>
  <c r="A1197" i="25"/>
  <c r="A1196" i="25"/>
  <c r="A1195" i="25"/>
  <c r="A1194" i="25"/>
  <c r="A1193" i="25"/>
  <c r="A1192" i="25"/>
  <c r="A1191" i="25"/>
  <c r="A1190" i="25"/>
  <c r="A1189" i="25" l="1"/>
  <c r="A1188" i="25"/>
  <c r="A1187" i="25"/>
  <c r="A1186" i="25"/>
  <c r="A1185" i="25"/>
  <c r="A1184" i="25"/>
  <c r="A1183" i="25"/>
  <c r="A1182" i="25"/>
  <c r="A1181" i="25"/>
  <c r="A1180" i="25"/>
  <c r="A1179" i="25"/>
  <c r="A1178" i="25"/>
  <c r="A1177" i="25"/>
  <c r="A1176" i="25"/>
  <c r="A1175" i="25"/>
  <c r="A1174" i="25"/>
  <c r="A1173" i="25"/>
  <c r="A1172" i="25"/>
  <c r="A1171" i="25"/>
  <c r="A1170" i="25"/>
  <c r="A1169" i="25"/>
  <c r="A1168" i="25"/>
  <c r="A1167" i="25"/>
  <c r="A1166" i="25"/>
  <c r="A1165" i="25"/>
  <c r="A1164" i="25"/>
  <c r="A1163" i="25"/>
  <c r="A1162" i="25"/>
  <c r="A1161" i="25"/>
  <c r="A1160" i="25"/>
  <c r="A1159" i="25"/>
  <c r="A1158" i="25"/>
  <c r="A1157" i="25"/>
  <c r="A1156" i="25"/>
  <c r="A1155" i="25"/>
  <c r="A1154" i="25"/>
  <c r="A1153" i="25"/>
  <c r="A1152" i="25"/>
  <c r="A1151" i="25"/>
  <c r="A1150" i="25"/>
  <c r="A1149" i="25"/>
  <c r="A1148" i="25"/>
  <c r="A1147" i="25"/>
  <c r="A1146" i="25"/>
  <c r="A1145" i="25"/>
  <c r="A1144" i="25"/>
  <c r="A1143" i="25"/>
  <c r="A1142" i="25"/>
  <c r="A1141" i="25"/>
  <c r="A1140" i="25"/>
  <c r="A1139" i="25"/>
  <c r="A1138" i="25"/>
  <c r="A1137" i="25"/>
  <c r="A1136" i="25"/>
  <c r="A1135" i="25"/>
  <c r="A1134" i="25"/>
  <c r="A1133" i="25"/>
  <c r="A1132" i="25"/>
  <c r="A1131" i="25"/>
  <c r="A1130" i="25"/>
  <c r="A1129" i="25"/>
  <c r="A1128" i="25"/>
  <c r="A1127" i="25"/>
  <c r="A1126" i="25"/>
  <c r="A1125" i="25"/>
  <c r="A1124" i="25"/>
  <c r="A1123" i="25"/>
  <c r="A1122" i="25"/>
  <c r="A1121" i="25"/>
  <c r="A1120" i="25"/>
  <c r="A1119" i="25"/>
  <c r="A1118" i="25"/>
  <c r="A1117" i="25"/>
  <c r="A1116" i="25"/>
  <c r="A1115" i="25"/>
  <c r="A1114" i="25"/>
  <c r="A1113" i="25"/>
  <c r="A1112" i="25"/>
  <c r="A1111" i="25"/>
  <c r="A1110" i="25"/>
  <c r="A1109" i="25"/>
  <c r="A1108" i="25"/>
  <c r="A1107" i="25"/>
  <c r="A1106" i="25"/>
  <c r="A1105" i="25"/>
  <c r="A1104" i="25"/>
  <c r="A1103" i="25"/>
  <c r="A1102" i="25"/>
  <c r="A1101" i="25"/>
  <c r="A1100" i="25"/>
  <c r="A1099" i="25"/>
  <c r="A1098" i="25"/>
  <c r="A1097" i="25"/>
  <c r="A1096" i="25"/>
  <c r="A1095" i="25"/>
  <c r="A1094" i="25"/>
  <c r="A1093" i="25"/>
  <c r="A1092" i="25"/>
  <c r="A1091" i="25"/>
  <c r="A1090" i="25"/>
  <c r="A1089" i="25"/>
  <c r="A1088" i="25"/>
  <c r="A1087" i="25"/>
  <c r="A1086" i="25"/>
  <c r="A1085" i="25"/>
  <c r="A1084" i="25"/>
  <c r="A1083" i="25"/>
  <c r="A1082" i="25"/>
  <c r="A1081" i="25"/>
  <c r="A1080" i="25"/>
  <c r="A1079" i="25"/>
  <c r="A1078" i="25"/>
  <c r="A1077" i="25"/>
  <c r="A1076" i="25"/>
  <c r="A1075" i="25"/>
  <c r="A1074" i="25"/>
  <c r="A1073" i="25"/>
  <c r="A1072" i="25"/>
  <c r="A1071" i="25"/>
  <c r="A1070" i="25"/>
  <c r="A1069" i="25"/>
  <c r="A1068" i="25"/>
  <c r="A1067" i="25"/>
  <c r="A1066" i="25"/>
  <c r="A1065" i="25"/>
  <c r="A1064" i="25"/>
  <c r="A1063" i="25"/>
  <c r="A1062" i="25"/>
  <c r="A1061" i="25"/>
  <c r="A1060" i="25"/>
  <c r="A1059" i="25"/>
  <c r="A1058" i="25"/>
  <c r="A1057" i="25"/>
  <c r="A1056" i="25"/>
  <c r="A1055" i="25"/>
  <c r="A1054" i="25"/>
  <c r="A1053" i="25"/>
  <c r="A1052" i="25"/>
  <c r="A1051" i="25"/>
  <c r="A1050" i="25"/>
  <c r="A1049" i="25"/>
  <c r="A1048" i="25"/>
  <c r="A1047" i="25"/>
  <c r="A1046" i="25"/>
  <c r="A1045" i="25"/>
  <c r="A1044" i="25"/>
  <c r="A1043" i="25"/>
  <c r="A1042" i="25"/>
  <c r="A1041" i="25"/>
  <c r="A1040" i="25"/>
  <c r="A1039" i="25"/>
  <c r="A1038" i="25"/>
  <c r="A1037" i="25"/>
  <c r="A1036" i="25"/>
  <c r="A1035" i="25"/>
  <c r="A1034" i="25"/>
  <c r="A1033" i="25"/>
  <c r="A1032" i="25"/>
  <c r="A1031" i="25"/>
  <c r="A1030" i="25"/>
  <c r="A1029" i="25"/>
  <c r="A1028" i="25"/>
  <c r="A1027" i="25"/>
  <c r="A1026" i="25"/>
  <c r="A1025" i="25"/>
  <c r="A1024" i="25"/>
  <c r="A1023" i="25"/>
  <c r="A1022" i="25"/>
  <c r="A1021" i="25"/>
  <c r="A1020" i="25"/>
  <c r="A1019" i="25"/>
  <c r="A1018" i="25"/>
  <c r="A1017" i="25"/>
  <c r="A1016" i="25"/>
  <c r="A1015" i="25"/>
  <c r="A1014" i="25"/>
  <c r="A1013" i="25"/>
  <c r="A1012" i="25"/>
  <c r="A1011" i="25"/>
  <c r="A1010" i="25"/>
  <c r="A1009" i="25"/>
  <c r="A1008" i="25"/>
  <c r="A1007" i="25"/>
  <c r="A1006" i="25"/>
  <c r="A1005" i="25"/>
  <c r="A1004" i="25"/>
  <c r="A1003" i="25"/>
  <c r="A1002" i="25"/>
  <c r="A1001" i="25"/>
  <c r="A1000" i="25"/>
  <c r="A999" i="25"/>
  <c r="A998" i="25"/>
  <c r="A997" i="25"/>
  <c r="A996" i="25"/>
  <c r="A995" i="25"/>
  <c r="A994" i="25"/>
  <c r="A993" i="25"/>
  <c r="A992" i="25"/>
  <c r="A991" i="25"/>
  <c r="A990" i="25"/>
  <c r="A989" i="25"/>
  <c r="A988" i="25"/>
  <c r="A987" i="25"/>
  <c r="A986" i="25"/>
  <c r="A985" i="25"/>
  <c r="A984" i="25"/>
  <c r="A983" i="25"/>
  <c r="A982" i="25"/>
  <c r="A981" i="25"/>
  <c r="A980" i="25"/>
  <c r="A979" i="25"/>
  <c r="A978" i="25"/>
  <c r="A977" i="25"/>
  <c r="A976" i="25"/>
  <c r="A975" i="25"/>
  <c r="A974" i="25"/>
  <c r="A973" i="25" l="1"/>
  <c r="A972" i="25"/>
  <c r="A971" i="25"/>
  <c r="A970" i="25"/>
  <c r="A969" i="25"/>
  <c r="A968" i="25"/>
  <c r="A967" i="25"/>
  <c r="A966" i="25"/>
  <c r="A965" i="25"/>
  <c r="A964" i="25"/>
  <c r="A963" i="25"/>
  <c r="A962" i="25"/>
  <c r="A961" i="25"/>
  <c r="A960" i="25"/>
  <c r="A959" i="25"/>
  <c r="A958" i="25"/>
  <c r="A957" i="25"/>
  <c r="A956" i="25"/>
  <c r="A955" i="25"/>
  <c r="A954" i="25"/>
  <c r="A953" i="25"/>
  <c r="A952" i="25"/>
  <c r="A951" i="25"/>
  <c r="A950" i="25"/>
  <c r="A949" i="25"/>
  <c r="A948" i="25"/>
  <c r="A947" i="25"/>
  <c r="A946" i="25"/>
  <c r="A945" i="25"/>
  <c r="A944" i="25"/>
  <c r="A943" i="25"/>
  <c r="A942" i="25"/>
  <c r="A941" i="25"/>
  <c r="A940" i="25"/>
  <c r="A939" i="25"/>
  <c r="A938" i="25"/>
  <c r="A937" i="25"/>
  <c r="A936" i="25"/>
  <c r="A935" i="25"/>
  <c r="A934" i="25"/>
  <c r="A933" i="25"/>
  <c r="A932" i="25"/>
  <c r="A931" i="25"/>
  <c r="A930" i="25"/>
  <c r="A929" i="25"/>
  <c r="A928" i="25"/>
  <c r="A927" i="25"/>
  <c r="A926" i="25"/>
  <c r="A925" i="25"/>
  <c r="A924" i="25"/>
  <c r="A923" i="25"/>
  <c r="A922" i="25"/>
  <c r="A921" i="25"/>
  <c r="A920" i="25"/>
  <c r="A919" i="25"/>
  <c r="A918" i="25"/>
  <c r="A917" i="25"/>
  <c r="A916" i="25"/>
  <c r="A915" i="25"/>
  <c r="A914" i="25"/>
  <c r="A913" i="25"/>
  <c r="A912" i="25"/>
  <c r="A911" i="25"/>
  <c r="A910" i="25"/>
  <c r="A909" i="25"/>
  <c r="A908" i="25"/>
  <c r="A907" i="25"/>
  <c r="A906" i="25"/>
  <c r="A905" i="25"/>
  <c r="A904" i="25"/>
  <c r="A903" i="25"/>
  <c r="A902" i="25"/>
  <c r="A901" i="25"/>
  <c r="A900" i="25"/>
  <c r="A899" i="25"/>
  <c r="A898" i="25"/>
  <c r="A897" i="25"/>
  <c r="A896" i="25"/>
  <c r="A895" i="25"/>
  <c r="A894" i="25"/>
  <c r="A893" i="25"/>
  <c r="A892" i="25"/>
  <c r="A891" i="25"/>
  <c r="A890" i="25"/>
  <c r="A889" i="25"/>
  <c r="A888" i="25"/>
  <c r="A887" i="25"/>
  <c r="A886" i="25"/>
  <c r="A885" i="25"/>
  <c r="A884" i="25"/>
  <c r="A883" i="25"/>
  <c r="A882" i="25"/>
  <c r="A881" i="25"/>
  <c r="A880" i="25"/>
  <c r="A879" i="25"/>
  <c r="A878" i="25"/>
  <c r="A446" i="25" l="1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6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A759" i="25"/>
  <c r="A760" i="25"/>
  <c r="A761" i="25"/>
  <c r="A762" i="25"/>
  <c r="A763" i="25"/>
  <c r="A764" i="25"/>
  <c r="A765" i="25"/>
  <c r="A766" i="25"/>
  <c r="A767" i="25"/>
  <c r="A768" i="25"/>
  <c r="A769" i="25"/>
  <c r="A770" i="25"/>
  <c r="A771" i="25"/>
  <c r="A772" i="25"/>
  <c r="A773" i="25"/>
  <c r="A774" i="25"/>
  <c r="A775" i="25"/>
  <c r="A776" i="25"/>
  <c r="A777" i="25"/>
  <c r="A778" i="25"/>
  <c r="A779" i="25"/>
  <c r="A780" i="25"/>
  <c r="A781" i="25"/>
  <c r="A782" i="25"/>
  <c r="A783" i="25"/>
  <c r="A784" i="25"/>
  <c r="A785" i="25"/>
  <c r="A786" i="25"/>
  <c r="A787" i="25"/>
  <c r="A788" i="25"/>
  <c r="A789" i="25"/>
  <c r="A790" i="25"/>
  <c r="A791" i="25"/>
  <c r="A792" i="25"/>
  <c r="A793" i="25"/>
  <c r="A794" i="25"/>
  <c r="A795" i="25"/>
  <c r="A796" i="25"/>
  <c r="A797" i="25"/>
  <c r="A798" i="25"/>
  <c r="A799" i="25"/>
  <c r="A800" i="25"/>
  <c r="A801" i="25"/>
  <c r="A802" i="25"/>
  <c r="A803" i="25"/>
  <c r="A804" i="25"/>
  <c r="A805" i="25"/>
  <c r="A806" i="25"/>
  <c r="A807" i="25"/>
  <c r="A808" i="25"/>
  <c r="A809" i="25"/>
  <c r="A810" i="25"/>
  <c r="A811" i="25"/>
  <c r="A812" i="25"/>
  <c r="A813" i="25"/>
  <c r="A814" i="25"/>
  <c r="A815" i="25"/>
  <c r="A816" i="25"/>
  <c r="A817" i="25"/>
  <c r="A818" i="25"/>
  <c r="A819" i="25"/>
  <c r="A820" i="25"/>
  <c r="A821" i="25"/>
  <c r="A822" i="25"/>
  <c r="A823" i="25"/>
  <c r="A824" i="25"/>
  <c r="A825" i="25"/>
  <c r="A826" i="25"/>
  <c r="A827" i="25"/>
  <c r="A828" i="25"/>
  <c r="A829" i="25"/>
  <c r="A830" i="25"/>
  <c r="A831" i="25"/>
  <c r="A832" i="25"/>
  <c r="A833" i="25"/>
  <c r="A834" i="25"/>
  <c r="A835" i="25"/>
  <c r="A836" i="25"/>
  <c r="A837" i="25"/>
  <c r="A838" i="25"/>
  <c r="A839" i="25"/>
  <c r="A840" i="25"/>
  <c r="A841" i="25"/>
  <c r="A842" i="25"/>
  <c r="A843" i="25"/>
  <c r="A844" i="25"/>
  <c r="A845" i="25"/>
  <c r="A846" i="25"/>
  <c r="A847" i="25"/>
  <c r="A848" i="25"/>
  <c r="A849" i="25"/>
  <c r="A850" i="25"/>
  <c r="A851" i="25"/>
  <c r="A852" i="25"/>
  <c r="A853" i="25"/>
  <c r="A854" i="25"/>
  <c r="A855" i="25"/>
  <c r="A856" i="25"/>
  <c r="A857" i="25"/>
  <c r="A858" i="25"/>
  <c r="A859" i="25"/>
  <c r="A860" i="25"/>
  <c r="A861" i="25"/>
  <c r="A862" i="25"/>
  <c r="A863" i="25"/>
  <c r="A864" i="25"/>
  <c r="A865" i="25"/>
  <c r="A866" i="25"/>
  <c r="A867" i="25"/>
  <c r="A868" i="25"/>
  <c r="A869" i="25"/>
  <c r="A870" i="25"/>
  <c r="A871" i="25"/>
  <c r="A872" i="25"/>
  <c r="A873" i="25"/>
  <c r="A874" i="25"/>
  <c r="A875" i="25"/>
  <c r="A876" i="25"/>
  <c r="A877" i="25"/>
  <c r="A1598" i="25"/>
  <c r="A1599" i="25"/>
  <c r="A1600" i="25"/>
  <c r="A1601" i="25"/>
  <c r="A1602" i="25"/>
  <c r="A1603" i="25"/>
  <c r="A1604" i="25"/>
  <c r="A1605" i="25"/>
  <c r="A1606" i="25"/>
  <c r="A1607" i="25"/>
  <c r="A1608" i="25"/>
  <c r="A1609" i="25"/>
  <c r="A1610" i="25"/>
  <c r="A1611" i="25"/>
  <c r="A1612" i="25"/>
  <c r="A1613" i="25"/>
  <c r="A1614" i="25"/>
  <c r="A1615" i="25"/>
  <c r="A1616" i="25"/>
  <c r="A1617" i="25"/>
  <c r="A1618" i="25"/>
  <c r="A1619" i="25"/>
  <c r="A1620" i="25"/>
  <c r="A1621" i="25"/>
  <c r="A1622" i="25"/>
  <c r="A1623" i="25"/>
  <c r="A1624" i="25"/>
  <c r="A1625" i="25"/>
  <c r="A1626" i="25"/>
  <c r="A1627" i="25"/>
  <c r="A1628" i="25"/>
  <c r="A1629" i="25"/>
  <c r="A1630" i="25"/>
  <c r="A1631" i="25"/>
  <c r="A1632" i="25"/>
  <c r="A1633" i="25"/>
  <c r="A1634" i="25"/>
  <c r="A1635" i="25"/>
  <c r="A1636" i="25"/>
  <c r="A1637" i="25"/>
  <c r="A1638" i="25"/>
  <c r="A1639" i="25"/>
  <c r="A1640" i="25"/>
  <c r="A1641" i="25"/>
  <c r="A1642" i="25"/>
  <c r="A1643" i="25"/>
  <c r="A1644" i="25"/>
  <c r="A1645" i="25"/>
  <c r="A1646" i="25"/>
  <c r="A1647" i="25"/>
  <c r="A1648" i="25"/>
  <c r="A1649" i="25"/>
  <c r="A1650" i="25"/>
  <c r="A1651" i="25"/>
  <c r="A1652" i="25"/>
  <c r="A1653" i="25"/>
  <c r="A1654" i="25"/>
  <c r="A1655" i="25"/>
  <c r="A1656" i="25"/>
  <c r="A1657" i="25"/>
  <c r="A1658" i="25"/>
  <c r="A1659" i="25"/>
  <c r="A1660" i="25"/>
  <c r="A1661" i="25"/>
  <c r="A1662" i="25"/>
  <c r="A1663" i="25"/>
  <c r="A1664" i="25"/>
  <c r="A1665" i="25"/>
  <c r="A1666" i="25"/>
  <c r="A1667" i="25"/>
  <c r="A1668" i="25"/>
  <c r="A1669" i="25"/>
  <c r="A1670" i="25"/>
  <c r="A1671" i="25"/>
  <c r="A1672" i="25"/>
  <c r="A1673" i="25"/>
  <c r="A1674" i="25"/>
  <c r="A1675" i="25"/>
  <c r="A1676" i="25"/>
  <c r="A1677" i="25"/>
  <c r="A1678" i="25"/>
  <c r="A1679" i="25"/>
  <c r="A1680" i="25"/>
  <c r="A1681" i="25"/>
  <c r="A1682" i="25"/>
  <c r="A1683" i="25"/>
  <c r="A1684" i="25"/>
  <c r="A1685" i="25"/>
  <c r="A1686" i="25"/>
  <c r="A1687" i="25"/>
  <c r="A1688" i="25"/>
  <c r="A1689" i="25"/>
  <c r="A1690" i="25"/>
  <c r="A1691" i="25"/>
  <c r="A1692" i="25"/>
  <c r="A1693" i="25"/>
  <c r="A1694" i="25"/>
  <c r="A1695" i="25"/>
  <c r="A1696" i="25"/>
  <c r="A1697" i="25"/>
  <c r="A1698" i="25"/>
  <c r="A1699" i="25"/>
  <c r="A1700" i="25"/>
  <c r="A1701" i="25"/>
  <c r="A1702" i="25"/>
  <c r="A1703" i="25"/>
  <c r="A1704" i="25"/>
  <c r="A1705" i="25"/>
  <c r="A1706" i="25"/>
  <c r="A1707" i="25"/>
  <c r="A1708" i="25"/>
  <c r="A1709" i="25"/>
  <c r="A1710" i="25"/>
  <c r="A1711" i="25"/>
  <c r="A1712" i="25"/>
  <c r="A1713" i="25"/>
  <c r="A1714" i="25"/>
  <c r="A1715" i="25"/>
  <c r="A1716" i="25"/>
  <c r="A1717" i="25"/>
  <c r="A1718" i="25"/>
  <c r="A1719" i="25"/>
  <c r="A1720" i="25"/>
  <c r="A1721" i="25"/>
  <c r="A1722" i="25"/>
  <c r="A1723" i="25"/>
  <c r="A1724" i="25"/>
  <c r="A1725" i="25"/>
  <c r="A1726" i="25"/>
  <c r="A1727" i="25"/>
  <c r="A1728" i="25"/>
  <c r="A1729" i="25"/>
  <c r="A1730" i="25"/>
  <c r="A1731" i="25"/>
  <c r="A1732" i="25"/>
  <c r="A1733" i="25"/>
  <c r="A1734" i="25"/>
  <c r="A1735" i="25"/>
  <c r="A1736" i="25"/>
  <c r="A1737" i="25"/>
  <c r="A1738" i="25"/>
  <c r="A1739" i="25"/>
  <c r="A1740" i="25"/>
  <c r="A1741" i="25"/>
  <c r="A1742" i="25"/>
  <c r="A1743" i="25"/>
  <c r="A1744" i="25"/>
  <c r="A1745" i="25"/>
  <c r="A1746" i="25"/>
  <c r="A1747" i="25"/>
  <c r="A1748" i="25"/>
  <c r="A1749" i="25"/>
  <c r="A1750" i="25"/>
  <c r="A1751" i="25"/>
  <c r="A1752" i="25"/>
  <c r="A1753" i="25"/>
  <c r="A1754" i="25"/>
  <c r="A1755" i="25"/>
  <c r="A1756" i="25"/>
  <c r="A1757" i="25"/>
  <c r="A1758" i="25"/>
  <c r="A1759" i="25"/>
  <c r="A1760" i="25"/>
  <c r="A1761" i="25"/>
  <c r="A1762" i="25"/>
  <c r="A1763" i="25"/>
  <c r="A1764" i="25"/>
  <c r="A1765" i="25"/>
  <c r="A1766" i="25"/>
  <c r="A1767" i="25"/>
  <c r="A1768" i="25"/>
  <c r="A1769" i="25"/>
  <c r="A1770" i="25"/>
  <c r="A1771" i="25"/>
  <c r="A1772" i="25"/>
  <c r="A1773" i="25"/>
  <c r="A1774" i="25"/>
  <c r="A1775" i="25"/>
  <c r="A1776" i="25"/>
  <c r="A1777" i="25"/>
  <c r="A1778" i="25"/>
  <c r="A1779" i="25"/>
  <c r="A1780" i="25"/>
  <c r="A1781" i="25"/>
  <c r="A1782" i="25"/>
  <c r="A1783" i="25"/>
  <c r="A1784" i="25"/>
  <c r="A1785" i="25"/>
  <c r="A1786" i="25"/>
  <c r="A1787" i="25"/>
  <c r="A1788" i="25"/>
  <c r="A1789" i="25"/>
  <c r="A1790" i="25"/>
  <c r="A1791" i="25"/>
  <c r="A1792" i="25"/>
  <c r="A1793" i="25"/>
  <c r="A1794" i="25"/>
  <c r="A1795" i="25"/>
  <c r="A1796" i="25"/>
  <c r="A1797" i="25"/>
  <c r="A1798" i="25"/>
  <c r="A1799" i="25"/>
  <c r="A1800" i="25"/>
  <c r="A1801" i="25"/>
  <c r="A1802" i="25"/>
  <c r="A1803" i="25"/>
  <c r="A1804" i="25"/>
  <c r="A1805" i="25"/>
  <c r="A1806" i="25"/>
  <c r="A1807" i="25"/>
  <c r="A1808" i="25"/>
  <c r="A1809" i="25"/>
  <c r="A1810" i="25"/>
  <c r="A1811" i="25"/>
  <c r="A1812" i="25"/>
  <c r="A1813" i="25"/>
  <c r="A1814" i="25"/>
  <c r="A1815" i="25"/>
  <c r="A1816" i="25"/>
  <c r="A1817" i="25"/>
  <c r="A1818" i="25"/>
  <c r="A1819" i="25"/>
  <c r="A1820" i="25"/>
  <c r="A1821" i="25"/>
  <c r="A1822" i="25"/>
  <c r="A1823" i="25"/>
  <c r="A1824" i="25"/>
  <c r="A1825" i="25"/>
  <c r="A1826" i="25"/>
  <c r="A1827" i="25"/>
  <c r="A1828" i="25"/>
  <c r="A1829" i="25"/>
  <c r="A1830" i="25"/>
  <c r="A1831" i="25"/>
  <c r="A1832" i="25"/>
  <c r="A1833" i="25"/>
  <c r="A1834" i="25"/>
  <c r="A1835" i="25"/>
  <c r="A1836" i="25"/>
  <c r="A1837" i="25"/>
  <c r="A1838" i="25"/>
  <c r="A1839" i="25"/>
  <c r="A1840" i="25"/>
  <c r="A1841" i="25"/>
  <c r="A1842" i="25"/>
  <c r="A1843" i="25"/>
  <c r="A1844" i="25"/>
  <c r="A1845" i="25"/>
  <c r="A1846" i="25"/>
  <c r="A1847" i="25"/>
  <c r="A1848" i="25"/>
  <c r="A1849" i="25"/>
  <c r="A1850" i="25"/>
  <c r="A1851" i="25"/>
  <c r="A1852" i="25"/>
  <c r="A1853" i="25"/>
  <c r="A1854" i="25"/>
  <c r="A1855" i="25"/>
  <c r="A1856" i="25"/>
  <c r="A1857" i="25"/>
  <c r="A1858" i="25"/>
  <c r="A1859" i="25"/>
  <c r="A1860" i="25"/>
  <c r="A1861" i="25"/>
  <c r="A1862" i="25"/>
  <c r="A1863" i="25"/>
  <c r="A1864" i="25"/>
  <c r="A1865" i="25"/>
  <c r="A1866" i="25"/>
  <c r="A1867" i="25"/>
  <c r="A1868" i="25"/>
  <c r="A1869" i="25"/>
  <c r="A1870" i="25"/>
  <c r="A1871" i="25"/>
  <c r="A1872" i="25"/>
  <c r="A1873" i="25"/>
  <c r="A1874" i="25"/>
  <c r="A1875" i="25"/>
  <c r="A1876" i="25"/>
  <c r="A1877" i="25"/>
  <c r="A1878" i="25"/>
  <c r="A1879" i="25"/>
  <c r="A1880" i="25"/>
  <c r="A1881" i="25"/>
  <c r="A1882" i="25"/>
  <c r="A1883" i="25"/>
  <c r="A1884" i="25"/>
  <c r="A1885" i="25"/>
  <c r="A1886" i="25"/>
  <c r="A1887" i="25"/>
  <c r="A1888" i="25"/>
  <c r="A1889" i="25"/>
  <c r="A1890" i="25"/>
  <c r="A1891" i="25"/>
  <c r="A1892" i="25"/>
  <c r="A1893" i="25"/>
  <c r="A1894" i="25"/>
  <c r="A1895" i="25"/>
  <c r="A1896" i="25"/>
  <c r="A1897" i="25"/>
  <c r="A1898" i="25"/>
  <c r="A1899" i="25"/>
  <c r="A1900" i="25"/>
  <c r="A1901" i="25"/>
  <c r="A1902" i="25"/>
  <c r="A1903" i="25"/>
  <c r="A1904" i="25"/>
  <c r="A1905" i="25"/>
  <c r="A1906" i="25"/>
  <c r="A1907" i="25"/>
  <c r="A1908" i="25"/>
  <c r="A1909" i="25"/>
  <c r="A1910" i="25"/>
  <c r="A1911" i="25"/>
  <c r="A1912" i="25"/>
  <c r="A1913" i="25"/>
  <c r="A1914" i="25"/>
  <c r="A1915" i="25"/>
  <c r="A1916" i="25"/>
  <c r="A1917" i="25"/>
  <c r="A1918" i="25"/>
  <c r="A1919" i="25"/>
  <c r="A1920" i="25"/>
  <c r="A1921" i="25"/>
  <c r="A1922" i="25"/>
  <c r="A1923" i="25"/>
  <c r="A1924" i="25"/>
  <c r="A1925" i="25"/>
  <c r="A1926" i="25"/>
  <c r="A1927" i="25"/>
  <c r="A1928" i="25"/>
  <c r="A1929" i="25"/>
  <c r="A1930" i="25"/>
  <c r="A1931" i="25"/>
  <c r="A1932" i="25"/>
  <c r="A1933" i="25"/>
  <c r="A1934" i="25"/>
  <c r="A1935" i="25"/>
  <c r="A1936" i="25"/>
  <c r="A1937" i="25"/>
  <c r="A1938" i="25"/>
  <c r="A1939" i="25"/>
  <c r="A1940" i="25"/>
  <c r="A1941" i="25"/>
  <c r="A1942" i="25"/>
  <c r="A1943" i="25"/>
  <c r="A1944" i="25"/>
  <c r="A1945" i="25"/>
  <c r="A1946" i="25"/>
  <c r="A1947" i="25"/>
  <c r="A1948" i="25"/>
  <c r="A1949" i="25"/>
  <c r="A1950" i="25"/>
  <c r="A1951" i="25"/>
  <c r="A1952" i="25"/>
  <c r="A1953" i="25"/>
  <c r="A1954" i="25"/>
  <c r="A1955" i="25"/>
  <c r="A1956" i="25"/>
  <c r="A1957" i="25"/>
  <c r="A1958" i="25"/>
  <c r="A1959" i="25"/>
  <c r="A1960" i="25"/>
  <c r="A1961" i="25"/>
  <c r="A1962" i="25"/>
  <c r="A1963" i="25"/>
  <c r="A1964" i="25"/>
  <c r="A1965" i="25"/>
  <c r="A1966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M8" i="14" l="1"/>
  <c r="M9" i="14"/>
  <c r="M10" i="14"/>
  <c r="M11" i="14"/>
  <c r="M12" i="14"/>
  <c r="M14" i="14"/>
  <c r="M15" i="14"/>
  <c r="M16" i="14"/>
  <c r="M17" i="14"/>
  <c r="M18" i="14"/>
  <c r="M19" i="14"/>
  <c r="M20" i="14"/>
  <c r="M5" i="14"/>
  <c r="K20" i="14"/>
  <c r="K19" i="14"/>
  <c r="K18" i="14"/>
  <c r="K17" i="14"/>
  <c r="K16" i="14"/>
  <c r="K15" i="14"/>
  <c r="K14" i="14"/>
  <c r="K12" i="14"/>
  <c r="K11" i="14"/>
  <c r="K10" i="14"/>
  <c r="K9" i="14"/>
  <c r="K8" i="14"/>
  <c r="K6" i="14"/>
  <c r="K5" i="14"/>
  <c r="K7" i="14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2" i="25"/>
  <c r="J7" i="14" l="1"/>
  <c r="L7" i="14" s="1"/>
  <c r="J11" i="14"/>
  <c r="L11" i="14" s="1"/>
  <c r="J15" i="14"/>
  <c r="L15" i="14" s="1"/>
  <c r="J19" i="14"/>
  <c r="L19" i="14" s="1"/>
  <c r="J18" i="14"/>
  <c r="L18" i="14" s="1"/>
  <c r="J8" i="14"/>
  <c r="L8" i="14" s="1"/>
  <c r="J12" i="14"/>
  <c r="L12" i="14" s="1"/>
  <c r="J16" i="14"/>
  <c r="L16" i="14" s="1"/>
  <c r="J20" i="14"/>
  <c r="L20" i="14" s="1"/>
  <c r="J14" i="14"/>
  <c r="L14" i="14" s="1"/>
  <c r="J9" i="14"/>
  <c r="L9" i="14" s="1"/>
  <c r="J13" i="14"/>
  <c r="L13" i="14" s="1"/>
  <c r="J17" i="14"/>
  <c r="L17" i="14" s="1"/>
  <c r="J5" i="14"/>
  <c r="L5" i="14" s="1"/>
  <c r="J10" i="14"/>
  <c r="L10" i="14" s="1"/>
  <c r="J6" i="14"/>
  <c r="L6" i="14" s="1"/>
  <c r="M7" i="14"/>
  <c r="M6" i="14"/>
  <c r="M21" i="14" l="1"/>
  <c r="G20" i="7" s="1"/>
  <c r="G22" i="7" l="1"/>
  <c r="J21" i="14"/>
  <c r="G24" i="7"/>
  <c r="G19" i="7"/>
  <c r="G23" i="7"/>
  <c r="G18" i="7"/>
  <c r="G17" i="7"/>
  <c r="G21" i="7"/>
  <c r="K95" i="11"/>
  <c r="K81" i="11"/>
  <c r="K74" i="11"/>
  <c r="A74" i="11" s="1"/>
  <c r="K67" i="11"/>
  <c r="A67" i="11" s="1"/>
  <c r="K60" i="11"/>
  <c r="A60" i="11" s="1"/>
  <c r="K53" i="11"/>
  <c r="K46" i="11"/>
  <c r="A46" i="11" s="1"/>
  <c r="K39" i="11"/>
  <c r="A39" i="11" s="1"/>
  <c r="K32" i="11"/>
  <c r="A32" i="11" s="1"/>
  <c r="K25" i="11"/>
  <c r="K18" i="11"/>
  <c r="K11" i="11"/>
  <c r="A11" i="11" s="1"/>
  <c r="A361" i="11"/>
  <c r="A368" i="11"/>
  <c r="A375" i="11"/>
  <c r="A382" i="11"/>
  <c r="A389" i="11"/>
  <c r="A396" i="11"/>
  <c r="A403" i="11"/>
  <c r="A410" i="11"/>
  <c r="A417" i="11"/>
  <c r="A424" i="11"/>
  <c r="A431" i="11"/>
  <c r="A438" i="11"/>
  <c r="A445" i="11"/>
  <c r="A452" i="11"/>
  <c r="A459" i="11"/>
  <c r="A466" i="11"/>
  <c r="A473" i="11"/>
  <c r="A480" i="11"/>
  <c r="A487" i="11"/>
  <c r="A494" i="11"/>
  <c r="A501" i="11"/>
  <c r="A508" i="11"/>
  <c r="A515" i="11"/>
  <c r="A522" i="11"/>
  <c r="A529" i="11"/>
  <c r="A536" i="11"/>
  <c r="A543" i="11"/>
  <c r="A550" i="11"/>
  <c r="A557" i="11"/>
  <c r="A564" i="11"/>
  <c r="A571" i="11"/>
  <c r="A578" i="11"/>
  <c r="A585" i="11"/>
  <c r="A592" i="11"/>
  <c r="A599" i="11"/>
  <c r="A606" i="11"/>
  <c r="A613" i="11"/>
  <c r="A620" i="11"/>
  <c r="A627" i="11"/>
  <c r="A634" i="11"/>
  <c r="A641" i="11"/>
  <c r="A354" i="11"/>
  <c r="A347" i="11"/>
  <c r="A340" i="11"/>
  <c r="A333" i="11"/>
  <c r="A326" i="11"/>
  <c r="A319" i="11"/>
  <c r="A312" i="11"/>
  <c r="A305" i="11"/>
  <c r="A298" i="11"/>
  <c r="A291" i="11"/>
  <c r="A284" i="11"/>
  <c r="A277" i="11"/>
  <c r="A270" i="11"/>
  <c r="A263" i="11"/>
  <c r="A256" i="11"/>
  <c r="A249" i="11"/>
  <c r="A242" i="11"/>
  <c r="A235" i="11"/>
  <c r="A228" i="11"/>
  <c r="A221" i="11"/>
  <c r="A214" i="11"/>
  <c r="A207" i="11"/>
  <c r="A200" i="11"/>
  <c r="A193" i="11"/>
  <c r="A186" i="11"/>
  <c r="A179" i="11"/>
  <c r="A172" i="11"/>
  <c r="A165" i="11"/>
  <c r="A158" i="11"/>
  <c r="A151" i="11"/>
  <c r="A144" i="11"/>
  <c r="A137" i="11"/>
  <c r="A130" i="11"/>
  <c r="A123" i="11"/>
  <c r="A116" i="11"/>
  <c r="A109" i="11"/>
  <c r="A102" i="11"/>
  <c r="A95" i="11"/>
  <c r="A88" i="11"/>
  <c r="A81" i="11"/>
  <c r="A53" i="11"/>
  <c r="A25" i="11"/>
  <c r="A18" i="11"/>
  <c r="A4" i="11"/>
  <c r="A2" i="24" l="1"/>
  <c r="G34" i="7" l="1"/>
  <c r="H34" i="7" s="1"/>
  <c r="G35" i="7"/>
  <c r="H35" i="7" s="1"/>
  <c r="L21" i="14"/>
  <c r="M2" i="14" s="1"/>
  <c r="H20" i="7"/>
  <c r="H21" i="7"/>
  <c r="G32" i="7"/>
  <c r="H32" i="7" s="1"/>
  <c r="H19" i="7"/>
  <c r="G28" i="7"/>
  <c r="H28" i="7" s="1"/>
  <c r="H22" i="7"/>
  <c r="H18" i="7"/>
  <c r="G11" i="7"/>
  <c r="H11" i="7" s="1"/>
  <c r="G39" i="7"/>
  <c r="H39" i="7" s="1"/>
  <c r="G5" i="7"/>
  <c r="H5" i="7" s="1"/>
  <c r="H17" i="7"/>
  <c r="G6" i="7"/>
  <c r="H6" i="7" s="1"/>
  <c r="G30" i="7"/>
  <c r="H30" i="7" s="1"/>
  <c r="G41" i="7"/>
  <c r="H41" i="7" s="1"/>
  <c r="G7" i="7"/>
  <c r="H7" i="7" s="1"/>
  <c r="G26" i="7"/>
  <c r="H26" i="7" s="1"/>
  <c r="G37" i="7"/>
  <c r="H37" i="7" s="1"/>
  <c r="G33" i="7"/>
  <c r="H33" i="7" s="1"/>
  <c r="G36" i="7"/>
  <c r="H36" i="7" s="1"/>
  <c r="G16" i="7"/>
  <c r="H16" i="7" s="1"/>
  <c r="G27" i="7"/>
  <c r="H27" i="7" s="1"/>
  <c r="G40" i="7"/>
  <c r="H40" i="7" s="1"/>
  <c r="G8" i="7"/>
  <c r="H8" i="7" s="1"/>
  <c r="G25" i="7"/>
  <c r="H25" i="7" s="1"/>
  <c r="G38" i="7"/>
  <c r="H38" i="7" s="1"/>
  <c r="G42" i="7"/>
  <c r="H42" i="7" s="1"/>
  <c r="G12" i="7"/>
  <c r="H12" i="7" s="1"/>
  <c r="G13" i="7"/>
  <c r="H13" i="7" s="1"/>
  <c r="G31" i="7"/>
  <c r="H31" i="7" s="1"/>
  <c r="H24" i="7"/>
  <c r="G14" i="7"/>
  <c r="H14" i="7" s="1"/>
  <c r="G15" i="7"/>
  <c r="H15" i="7" s="1"/>
  <c r="G9" i="7"/>
  <c r="H9" i="7" s="1"/>
  <c r="G10" i="7"/>
  <c r="H10" i="7" s="1"/>
  <c r="G29" i="7"/>
  <c r="H29" i="7" s="1"/>
  <c r="H23" i="7"/>
  <c r="D12" i="23" l="1"/>
  <c r="D11" i="23"/>
  <c r="D13" i="23"/>
  <c r="M11" i="23" s="1"/>
  <c r="D14" i="23"/>
  <c r="D6" i="23"/>
  <c r="F6" i="23" s="1"/>
  <c r="D10" i="23"/>
  <c r="D9" i="23"/>
  <c r="I6" i="23" s="1"/>
  <c r="D8" i="23"/>
  <c r="D7" i="23"/>
  <c r="F12" i="23" l="1"/>
  <c r="M10" i="23"/>
  <c r="E12" i="23"/>
  <c r="I8" i="23"/>
  <c r="K8" i="23" s="1"/>
  <c r="I7" i="23"/>
  <c r="K7" i="23" s="1"/>
  <c r="F14" i="23"/>
  <c r="E14" i="23"/>
  <c r="E13" i="23"/>
  <c r="F13" i="23"/>
  <c r="E11" i="23"/>
  <c r="F11" i="23"/>
  <c r="J6" i="23"/>
  <c r="K6" i="23"/>
  <c r="I9" i="23"/>
  <c r="M6" i="23"/>
  <c r="M9" i="23"/>
  <c r="E6" i="23"/>
  <c r="N6" i="23" s="1"/>
  <c r="F10" i="23"/>
  <c r="E10" i="23"/>
  <c r="M7" i="23"/>
  <c r="F7" i="23"/>
  <c r="E7" i="23"/>
  <c r="F8" i="23"/>
  <c r="E8" i="23"/>
  <c r="E9" i="23"/>
  <c r="M8" i="23"/>
  <c r="F9" i="23"/>
  <c r="D15" i="23"/>
  <c r="C5" i="24" l="1"/>
  <c r="C4" i="24"/>
  <c r="C6" i="24"/>
  <c r="I10" i="23"/>
  <c r="N11" i="23"/>
  <c r="O11" i="23" s="1"/>
  <c r="N10" i="23"/>
  <c r="O10" i="23" s="1"/>
  <c r="J7" i="23"/>
  <c r="J8" i="23"/>
  <c r="J9" i="23"/>
  <c r="K9" i="23"/>
  <c r="K10" i="23" s="1"/>
  <c r="N9" i="23"/>
  <c r="O9" i="23" s="1"/>
  <c r="F15" i="23"/>
  <c r="C7" i="24" s="1"/>
  <c r="M12" i="23"/>
  <c r="N7" i="23"/>
  <c r="O7" i="23" s="1"/>
  <c r="E15" i="23"/>
  <c r="O6" i="23"/>
  <c r="N8" i="23"/>
  <c r="O8" i="23" s="1"/>
  <c r="J10" i="23" l="1"/>
  <c r="N12" i="23"/>
  <c r="O12" i="23"/>
</calcChain>
</file>

<file path=xl/comments1.xml><?xml version="1.0" encoding="utf-8"?>
<comments xmlns="http://schemas.openxmlformats.org/spreadsheetml/2006/main">
  <authors>
    <author>Amante, Daniel</author>
    <author>Nunes, Arthur C.</author>
  </authors>
  <commentList>
    <comment ref="D20" authorId="0" shapeId="0">
      <text>
        <r>
          <rPr>
            <b/>
            <sz val="9"/>
            <color indexed="81"/>
            <rFont val="Tahoma"/>
            <family val="2"/>
          </rPr>
          <t>Informar o Nome dos Sistemas</t>
        </r>
      </text>
    </comment>
    <comment ref="E20" authorId="1" shapeId="0">
      <text>
        <r>
          <rPr>
            <b/>
            <sz val="9"/>
            <color indexed="81"/>
            <rFont val="Tahoma"/>
            <family val="2"/>
          </rPr>
          <t>Arquivo, Tabela, View, WebService, etc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0" shapeId="0">
      <text>
        <r>
          <rPr>
            <b/>
            <sz val="9"/>
            <color indexed="81"/>
            <rFont val="Tahoma"/>
            <family val="2"/>
          </rPr>
          <t>Simples, Média ou Complexa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Informar o Nome dos Sistemas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Arquivo, Tabela, View, WebService, etc</t>
        </r>
      </text>
    </comment>
    <comment ref="F28" authorId="0" shapeId="0">
      <text>
        <r>
          <rPr>
            <b/>
            <sz val="9"/>
            <color indexed="81"/>
            <rFont val="Tahoma"/>
            <family val="2"/>
          </rPr>
          <t>Simples, Média ou Complexa</t>
        </r>
      </text>
    </comment>
  </commentList>
</comments>
</file>

<file path=xl/comments2.xml><?xml version="1.0" encoding="utf-8"?>
<comments xmlns="http://schemas.openxmlformats.org/spreadsheetml/2006/main">
  <authors>
    <author>Nunes, Arthur C.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Quantidade de objetos alterados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Obrigatório</t>
        </r>
        <r>
          <rPr>
            <sz val="9"/>
            <color indexed="81"/>
            <rFont val="Tahoma"/>
            <family val="2"/>
          </rPr>
          <t xml:space="preserve">
A = Alteração
N = Novo
I = Análise de Impacto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Obrigatório</t>
        </r>
        <r>
          <rPr>
            <sz val="9"/>
            <color indexed="81"/>
            <rFont val="Tahoma"/>
            <family val="2"/>
          </rPr>
          <t xml:space="preserve">
Se for I, deve sempre ser Simples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Obrigatório</t>
        </r>
        <r>
          <rPr>
            <sz val="9"/>
            <color indexed="81"/>
            <rFont val="Tahoma"/>
            <family val="2"/>
          </rPr>
          <t xml:space="preserve">
Caso seja novo, prencher com NA
Se for I, deve ser Simples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Pontos gerados pelo estimator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<sst xmlns="http://schemas.openxmlformats.org/spreadsheetml/2006/main" count="12592" uniqueCount="367">
  <si>
    <t>PROCESSOS</t>
  </si>
  <si>
    <t>Atividade</t>
  </si>
  <si>
    <t>Planejamento</t>
  </si>
  <si>
    <t>Análise</t>
  </si>
  <si>
    <t>Desenho</t>
  </si>
  <si>
    <t>Construção</t>
  </si>
  <si>
    <t>Desenho Técnico</t>
  </si>
  <si>
    <t>Codificar</t>
  </si>
  <si>
    <t>Teste</t>
  </si>
  <si>
    <t>Implantação</t>
  </si>
  <si>
    <t>Pós-Implantação</t>
  </si>
  <si>
    <t>HRS CALC</t>
  </si>
  <si>
    <t>HRS CUST</t>
  </si>
  <si>
    <t>NA</t>
  </si>
  <si>
    <t>%</t>
  </si>
  <si>
    <t>FASE</t>
  </si>
  <si>
    <t>TOTAL</t>
  </si>
  <si>
    <t>DETALHAMENTO DAS ESTIMATIVAS</t>
  </si>
  <si>
    <t>HRS</t>
  </si>
  <si>
    <t>Severidade</t>
  </si>
  <si>
    <t>Sistema</t>
  </si>
  <si>
    <t>Descrição</t>
  </si>
  <si>
    <t>Área</t>
  </si>
  <si>
    <t>Alteração / Novo</t>
  </si>
  <si>
    <t>N</t>
  </si>
  <si>
    <t>A</t>
  </si>
  <si>
    <t>Simples</t>
  </si>
  <si>
    <t>Complexidade do Programa</t>
  </si>
  <si>
    <t>Complexidade da Alteração</t>
  </si>
  <si>
    <t>Alta</t>
  </si>
  <si>
    <t>Média</t>
  </si>
  <si>
    <t>Baixa</t>
  </si>
  <si>
    <t>N/A</t>
  </si>
  <si>
    <t>Produtos Entregaveis</t>
  </si>
  <si>
    <t>Ata de Reunião</t>
  </si>
  <si>
    <t>ET</t>
  </si>
  <si>
    <t xml:space="preserve">Descrição de Critério de Avaliação de Complexidade </t>
  </si>
  <si>
    <t>EF</t>
  </si>
  <si>
    <t>Migração</t>
  </si>
  <si>
    <t>Horas Previstas</t>
  </si>
  <si>
    <t>Dias</t>
  </si>
  <si>
    <t>Planejamento de Teste Unitário</t>
  </si>
  <si>
    <t>Pré - Estimativa</t>
  </si>
  <si>
    <t>Validação da Funcional</t>
  </si>
  <si>
    <t>Resumo Esforço Detalhado</t>
  </si>
  <si>
    <t>CD FASE</t>
  </si>
  <si>
    <t>PE</t>
  </si>
  <si>
    <t>VF</t>
  </si>
  <si>
    <t>PTU</t>
  </si>
  <si>
    <t>M</t>
  </si>
  <si>
    <t>Desenvolvimento e Teste Unitário</t>
  </si>
  <si>
    <t xml:space="preserve">Migração </t>
  </si>
  <si>
    <t>TI</t>
  </si>
  <si>
    <t>Suporte Teste Integrado</t>
  </si>
  <si>
    <t>Suporte TI</t>
  </si>
  <si>
    <t>Resumo das Estimativas (Fases ADM)</t>
  </si>
  <si>
    <t>Contingência:</t>
  </si>
  <si>
    <t>Elaborar Especificação Técnica</t>
  </si>
  <si>
    <t>Acompanhar Implantação</t>
  </si>
  <si>
    <t>G</t>
  </si>
  <si>
    <t>Gerar status reports</t>
  </si>
  <si>
    <t>Finalizar projeto nas ferramentas internas</t>
  </si>
  <si>
    <t>Gestão</t>
  </si>
  <si>
    <t>Execução</t>
  </si>
  <si>
    <t>Controle</t>
  </si>
  <si>
    <t>Fechamento</t>
  </si>
  <si>
    <t xml:space="preserve">Registro de Alterações do Documento </t>
  </si>
  <si>
    <t xml:space="preserve">Do Documento </t>
  </si>
  <si>
    <t>Versão</t>
  </si>
  <si>
    <t>Data</t>
  </si>
  <si>
    <t>Autor</t>
  </si>
  <si>
    <t>Descrição da Alteração</t>
  </si>
  <si>
    <t>Do Template</t>
  </si>
  <si>
    <r>
      <t>Nota: Por cada alteração deve ser acrescentada uma nova linha ao Registro de Alterações do Documento (</t>
    </r>
    <r>
      <rPr>
        <i/>
        <sz val="8"/>
        <rFont val="Times New Roman"/>
        <family val="1"/>
      </rPr>
      <t>Document Change Log</t>
    </r>
    <r>
      <rPr>
        <sz val="8"/>
        <rFont val="Times New Roman"/>
        <family val="1"/>
      </rPr>
      <t>) explicando as modificações efetuadas ao documento.
O Registro de Alterações do Documento será mantido em ordem cronológica inversa, com as alterações mais recentes no início da lista.</t>
    </r>
  </si>
  <si>
    <t xml:space="preserve">Simples </t>
  </si>
  <si>
    <t>Médio</t>
  </si>
  <si>
    <t>Complexo</t>
  </si>
  <si>
    <t>C</t>
  </si>
  <si>
    <t>Alteração</t>
  </si>
  <si>
    <t>Tecnologia</t>
  </si>
  <si>
    <t>Produto Novo</t>
  </si>
  <si>
    <t>Produto Existente</t>
  </si>
  <si>
    <t>Tempo de Codificação de Produto</t>
  </si>
  <si>
    <t>Fatores</t>
  </si>
  <si>
    <t>Lista de Tarefas</t>
  </si>
  <si>
    <t>FASES</t>
  </si>
  <si>
    <t>Pré Projeto</t>
  </si>
  <si>
    <t>MSPS e documento Capacidade revisados</t>
  </si>
  <si>
    <t>Estimar demanda e gerar cronograma</t>
  </si>
  <si>
    <t>Gestão e acompanhamento da demanda</t>
  </si>
  <si>
    <t>Especificação funcional</t>
  </si>
  <si>
    <t>Peer Review document</t>
  </si>
  <si>
    <t>Reunião de acompanhamento</t>
  </si>
  <si>
    <t>Realiza reuniões de acompanhamento 3P</t>
  </si>
  <si>
    <t>Projeto</t>
  </si>
  <si>
    <t>Realiza reunião de apresentação e transição do projeto</t>
  </si>
  <si>
    <t>Elaborar estimativa de custo e cronograma</t>
  </si>
  <si>
    <t>MSPS, S.A e documento de aceite</t>
  </si>
  <si>
    <t>Realiza reunião interna de Kick Off e transição</t>
  </si>
  <si>
    <t>Planejar Teste de Montagem</t>
  </si>
  <si>
    <t>Construir demanda</t>
  </si>
  <si>
    <t>Desenvolvedores</t>
  </si>
  <si>
    <t>Acompanhar Construção</t>
  </si>
  <si>
    <t>SME</t>
  </si>
  <si>
    <t>Executar Testes unitários de montagem e componente</t>
  </si>
  <si>
    <t>Peer Review Construção e documentos de TU</t>
  </si>
  <si>
    <t>Realizar reuniões de validação e acompanhamento da Construção</t>
  </si>
  <si>
    <t>Testes Integrados</t>
  </si>
  <si>
    <t>Suporte a teste integrados</t>
  </si>
  <si>
    <t>Realiza reunião de status para acompanhamento de release</t>
  </si>
  <si>
    <t>Realiza reunião de KT e transiçao para OGS e TT/OS</t>
  </si>
  <si>
    <t>Realiza reunião de pós release</t>
  </si>
  <si>
    <t>Acompanhar e suportar Testes de Regressão da release</t>
  </si>
  <si>
    <t>Suporte a TRG orçado individualmente nas demandas</t>
  </si>
  <si>
    <t>Horas de release</t>
  </si>
  <si>
    <t>Garantia pós produção pela fábrica</t>
  </si>
  <si>
    <t>Alocação preventiva para suporte imediado a issues em prd</t>
  </si>
  <si>
    <t>Acompanhamento pós produção contratado</t>
  </si>
  <si>
    <t>Arthur Nunes</t>
  </si>
  <si>
    <t>Checklist</t>
  </si>
  <si>
    <t>Informações básicas</t>
  </si>
  <si>
    <t>Produtor *</t>
  </si>
  <si>
    <t>Id</t>
  </si>
  <si>
    <t>Consumidor *</t>
  </si>
  <si>
    <t>Desenho Geral da Solução</t>
  </si>
  <si>
    <t>1.0</t>
  </si>
  <si>
    <t>Cordenador</t>
  </si>
  <si>
    <t>Scrum Master</t>
  </si>
  <si>
    <t>Arquiteto GVT</t>
  </si>
  <si>
    <t>Arquiteto Accenture</t>
  </si>
  <si>
    <t>Email:</t>
  </si>
  <si>
    <t>Telefone:</t>
  </si>
  <si>
    <t>Complexidade do projeto</t>
  </si>
  <si>
    <t>Desafios do projeto</t>
  </si>
  <si>
    <t>Informações sobre interfaces envolvidas</t>
  </si>
  <si>
    <t>Tipo da interface</t>
  </si>
  <si>
    <t>Complexidade</t>
  </si>
  <si>
    <t>Criação do documento</t>
  </si>
  <si>
    <t>Adaptação do documento AM125 - Siebel Oi</t>
  </si>
  <si>
    <r>
      <t>Objetos</t>
    </r>
    <r>
      <rPr>
        <b/>
        <sz val="11"/>
        <color indexed="10"/>
        <rFont val="Arial"/>
        <family val="2"/>
      </rPr>
      <t>*</t>
    </r>
  </si>
  <si>
    <r>
      <t>Tecnologia</t>
    </r>
    <r>
      <rPr>
        <b/>
        <sz val="11"/>
        <color indexed="10"/>
        <rFont val="Arial"/>
        <family val="2"/>
      </rPr>
      <t>*</t>
    </r>
  </si>
  <si>
    <r>
      <t>Complexidade do Programa</t>
    </r>
    <r>
      <rPr>
        <b/>
        <sz val="11"/>
        <color indexed="10"/>
        <rFont val="Arial"/>
        <family val="2"/>
      </rPr>
      <t>*</t>
    </r>
  </si>
  <si>
    <r>
      <t>Complexidade da Alteração</t>
    </r>
    <r>
      <rPr>
        <b/>
        <sz val="11"/>
        <color indexed="10"/>
        <rFont val="Arial"/>
        <family val="2"/>
      </rPr>
      <t>*</t>
    </r>
  </si>
  <si>
    <t>I</t>
  </si>
  <si>
    <t>Pontos</t>
  </si>
  <si>
    <r>
      <t>Tipo</t>
    </r>
    <r>
      <rPr>
        <b/>
        <sz val="11"/>
        <color indexed="10"/>
        <rFont val="Arial"/>
        <family val="2"/>
      </rPr>
      <t>*</t>
    </r>
  </si>
  <si>
    <t>Pré-Avaliação</t>
  </si>
  <si>
    <t>Pontos Base:</t>
  </si>
  <si>
    <t>Resumo Esforço Fábrica</t>
  </si>
  <si>
    <t>Realiza reuniões de Release Planning</t>
  </si>
  <si>
    <t>Ata de Reunião / Release Planning</t>
  </si>
  <si>
    <t>Reunião de apresentação de visão geral do projeto com a fábrica</t>
  </si>
  <si>
    <t>Reunião de revisão da estimativa com a fábrica</t>
  </si>
  <si>
    <t>Reunião de release planning</t>
  </si>
  <si>
    <t>Reunião Kick-off apresentação do projeto</t>
  </si>
  <si>
    <t>Reuniões de Sprint 0</t>
  </si>
  <si>
    <t>Reunião com arquiteto cliente</t>
  </si>
  <si>
    <t>Pré desenho</t>
  </si>
  <si>
    <t>Fechar MSPS, SP e garantir entrega da demanda.</t>
  </si>
  <si>
    <t>Atualização do AM125 e criação de PM</t>
  </si>
  <si>
    <t>Atualização do AM125 - Detalhamento Pré Avaliação</t>
  </si>
  <si>
    <t>Atualização do AM125 - Sumário</t>
  </si>
  <si>
    <t>Esteira</t>
  </si>
  <si>
    <t>Release:</t>
  </si>
  <si>
    <t>Project, AKN e SVN atualizados</t>
  </si>
  <si>
    <t>Status diário</t>
  </si>
  <si>
    <t>ITS</t>
  </si>
  <si>
    <t>Evidências de resolução dos BUGs</t>
  </si>
  <si>
    <t>Testes de HML</t>
  </si>
  <si>
    <t>Suporte a teste de homologação</t>
  </si>
  <si>
    <t>Peer Review ITS</t>
  </si>
  <si>
    <t>Realizar reuniões de validação e acompanhamento da ITS</t>
  </si>
  <si>
    <t>Apresentação da história para a fábrica</t>
  </si>
  <si>
    <t>Pré ITS</t>
  </si>
  <si>
    <t>Criação do AM125 - Sumário</t>
  </si>
  <si>
    <t>Elaborar pré estimativa</t>
  </si>
  <si>
    <t>PM</t>
  </si>
  <si>
    <t>Repositório</t>
  </si>
  <si>
    <t>Não Repositório</t>
  </si>
  <si>
    <t>Merge</t>
  </si>
  <si>
    <t>Teste integrado</t>
  </si>
  <si>
    <t>Principais datas</t>
  </si>
  <si>
    <t>Coletar evidências para PTMON</t>
  </si>
  <si>
    <t>Atualizar PTMON</t>
  </si>
  <si>
    <t>PTMON</t>
  </si>
  <si>
    <t>Objetos criados/alterados incluídos no SVN</t>
  </si>
  <si>
    <t>Executar teste das histórias implantadas</t>
  </si>
  <si>
    <t>x</t>
  </si>
  <si>
    <t>Rollout</t>
  </si>
  <si>
    <t>1.1</t>
  </si>
  <si>
    <t>Juliano Miranda</t>
  </si>
  <si>
    <t>Inclusão de estimativas de catálogo de Produtos</t>
  </si>
  <si>
    <t>-</t>
  </si>
  <si>
    <t>ConfiguradorOnline</t>
  </si>
  <si>
    <t>1152 - SOPHIA_Fase 2 - SOPROD-243</t>
  </si>
  <si>
    <t>PONTOS</t>
  </si>
  <si>
    <t>BUILD</t>
  </si>
  <si>
    <t>SUPORTE</t>
  </si>
  <si>
    <t>Fator</t>
  </si>
  <si>
    <t>NECService</t>
  </si>
  <si>
    <t>Regra Drools</t>
  </si>
  <si>
    <t>Junit</t>
  </si>
  <si>
    <t>Banco de Dados (DML,DDL)</t>
  </si>
  <si>
    <t>Banco de Dados (PL/SQL)</t>
  </si>
  <si>
    <t>JAVA: Interface WebService</t>
  </si>
  <si>
    <t>JAVA: Transformação de Objetos</t>
  </si>
  <si>
    <t>JAVA: Métodos de Negócio (Controller)</t>
  </si>
  <si>
    <t>JAVA: Entity</t>
  </si>
  <si>
    <t>JAVA: Consulta Banco de Dados</t>
  </si>
  <si>
    <t>JAVA: Geração de Stubs</t>
  </si>
  <si>
    <t>JSP</t>
  </si>
  <si>
    <t>Configuração de Projeto/Modulo</t>
  </si>
  <si>
    <t>NECPortabilidade</t>
  </si>
  <si>
    <t>NECGateway</t>
  </si>
  <si>
    <t>WFM</t>
  </si>
  <si>
    <t>Tipo</t>
  </si>
  <si>
    <t>Esforço (horas)</t>
  </si>
  <si>
    <t>Observação</t>
  </si>
  <si>
    <t>RegraDrools</t>
  </si>
  <si>
    <t>JUnit</t>
  </si>
  <si>
    <t>Banco de Dados (DML, DDL)</t>
  </si>
  <si>
    <t>Configuração Projeto/Módulo</t>
  </si>
  <si>
    <t>Engenharia Reversa (entendimento solução atual)</t>
  </si>
  <si>
    <t>Desenvolvimento de POC</t>
  </si>
  <si>
    <t>Escrita de Especificação</t>
  </si>
  <si>
    <t>TEMPLATE</t>
  </si>
  <si>
    <t>Lookup</t>
  </si>
  <si>
    <t>TOTAL BUILD</t>
  </si>
  <si>
    <t>Configurador Online</t>
  </si>
  <si>
    <t>CPEServices</t>
  </si>
  <si>
    <t>OSSTurbonet</t>
  </si>
  <si>
    <t>WiseTools</t>
  </si>
  <si>
    <t>Job</t>
  </si>
  <si>
    <t>SCM Mobile</t>
  </si>
  <si>
    <t>SCM Blocked</t>
  </si>
  <si>
    <t>Rules Services</t>
  </si>
  <si>
    <t>SCM VAS</t>
  </si>
  <si>
    <t>SCM TV</t>
  </si>
  <si>
    <t>Validação de Entrega</t>
  </si>
  <si>
    <t>--- ATIVIDADES DE ITS ---</t>
  </si>
  <si>
    <t>--- ATIVIDADES DE DESENVOLVIMENTO ---</t>
  </si>
  <si>
    <t>IS</t>
  </si>
  <si>
    <t>WFMRegraDroolsNSimples</t>
  </si>
  <si>
    <t>WFMRegraDroolsNMédio</t>
  </si>
  <si>
    <t>WFMRegraDroolsNComplexo</t>
  </si>
  <si>
    <t>WFMRegraDroolsASimplesSimples</t>
  </si>
  <si>
    <t>WFMRegraDroolsASimplesMédio</t>
  </si>
  <si>
    <t>WFMRegraDroolsASimplesComplexo</t>
  </si>
  <si>
    <t>WFMRegraDroolsAMédioSimples</t>
  </si>
  <si>
    <t>WFMRegraDroolsAMédioMédio</t>
  </si>
  <si>
    <t>WFMRegraDroolsAMédioComplexo</t>
  </si>
  <si>
    <t>WFMRegraDroolsAComplexoSimples</t>
  </si>
  <si>
    <t>WFMRegraDroolsAComplexoMédio</t>
  </si>
  <si>
    <t>WFMRegraDroolsAComplexoComplexo</t>
  </si>
  <si>
    <t>WFMJUnitNSimples</t>
  </si>
  <si>
    <t>WFMJUnitNMédio</t>
  </si>
  <si>
    <t>WFMJUnitNComplexo</t>
  </si>
  <si>
    <t>WFMJUnitASimplesSimples</t>
  </si>
  <si>
    <t>WFMJUnitASimplesMédio</t>
  </si>
  <si>
    <t>WFMJUnitASimplesComplexo</t>
  </si>
  <si>
    <t>WFMJUnitAMédioSimples</t>
  </si>
  <si>
    <t>WFMJUnitAMédioMédio</t>
  </si>
  <si>
    <t>WFMJUnitAMédioComplexo</t>
  </si>
  <si>
    <t>WFMJUnitAComplexoSimples</t>
  </si>
  <si>
    <t>WFMJUnitAComplexoMédio</t>
  </si>
  <si>
    <t>WFMJUnitAComplexoComplexo</t>
  </si>
  <si>
    <t>WFMBanco de Dados (DML, DDL)NSimples</t>
  </si>
  <si>
    <t>WFMBanco de Dados (DML, DDL)NMédio</t>
  </si>
  <si>
    <t>WFMBanco de Dados (DML, DDL)NComplexo</t>
  </si>
  <si>
    <t>WFMBanco de Dados (DML, DDL)ASimplesSimples</t>
  </si>
  <si>
    <t>WFMBanco de Dados (DML, DDL)ASimplesMédio</t>
  </si>
  <si>
    <t>WFMBanco de Dados (DML, DDL)ASimplesComplexo</t>
  </si>
  <si>
    <t>WFMBanco de Dados (DML, DDL)AMédioSimples</t>
  </si>
  <si>
    <t>WFMBanco de Dados (DML, DDL)AMédioMédio</t>
  </si>
  <si>
    <t>WFMBanco de Dados (DML, DDL)AMédioComplexo</t>
  </si>
  <si>
    <t>WFMBanco de Dados (DML, DDL)AComplexoSimples</t>
  </si>
  <si>
    <t>WFMBanco de Dados (DML, DDL)AComplexoMédio</t>
  </si>
  <si>
    <t>WFMBanco de Dados (DML, DDL)AComplexoComplexo</t>
  </si>
  <si>
    <t>WFMBanco de Dados (PL/SQL)NSimples</t>
  </si>
  <si>
    <t>WFMBanco de Dados (PL/SQL)NMédio</t>
  </si>
  <si>
    <t>WFMBanco de Dados (PL/SQL)NComplexo</t>
  </si>
  <si>
    <t>WFMBanco de Dados (PL/SQL)ASimplesSimples</t>
  </si>
  <si>
    <t>WFMBanco de Dados (PL/SQL)ASimplesMédio</t>
  </si>
  <si>
    <t>WFMBanco de Dados (PL/SQL)ASimplesComplexo</t>
  </si>
  <si>
    <t>WFMBanco de Dados (PL/SQL)AMédioSimples</t>
  </si>
  <si>
    <t>WFMBanco de Dados (PL/SQL)AMédioMédio</t>
  </si>
  <si>
    <t>WFMBanco de Dados (PL/SQL)AMédioComplexo</t>
  </si>
  <si>
    <t>WFMBanco de Dados (PL/SQL)AComplexoSimples</t>
  </si>
  <si>
    <t>WFMBanco de Dados (PL/SQL)AComplexoMédio</t>
  </si>
  <si>
    <t>WFMBanco de Dados (PL/SQL)AComplexoComplexo</t>
  </si>
  <si>
    <t>WFMJAVA: Interface WebServiceNSimples</t>
  </si>
  <si>
    <t>WFMJAVA: Interface WebServiceNMédio</t>
  </si>
  <si>
    <t>WFMJAVA: Interface WebServiceNComplexo</t>
  </si>
  <si>
    <t>WFMJAVA: Interface WebServiceASimplesSimples</t>
  </si>
  <si>
    <t>WFMJAVA: Interface WebServiceASimplesMédio</t>
  </si>
  <si>
    <t>WFMJAVA: Interface WebServiceASimplesComplexo</t>
  </si>
  <si>
    <t>WFMJAVA: Interface WebServiceAMédioSimples</t>
  </si>
  <si>
    <t>WFMJAVA: Interface WebServiceAMédioMédio</t>
  </si>
  <si>
    <t>WFMJAVA: Interface WebServiceAMédioComplexo</t>
  </si>
  <si>
    <t>WFMJAVA: Interface WebServiceAComplexoSimples</t>
  </si>
  <si>
    <t>WFMJAVA: Interface WebServiceAComplexoMédio</t>
  </si>
  <si>
    <t>WFMJAVA: Interface WebServiceAComplexoComplexo</t>
  </si>
  <si>
    <t>WFMJAVA: Transformação de ObjetosNSimples</t>
  </si>
  <si>
    <t>WFMJAVA: Transformação de ObjetosNMédio</t>
  </si>
  <si>
    <t>WFMJAVA: Transformação de ObjetosNComplexo</t>
  </si>
  <si>
    <t>WFMJAVA: Transformação de ObjetosASimplesSimples</t>
  </si>
  <si>
    <t>WFMJAVA: Transformação de ObjetosASimplesMédio</t>
  </si>
  <si>
    <t>WFMJAVA: Transformação de ObjetosASimplesComplexo</t>
  </si>
  <si>
    <t>WFMJAVA: Transformação de ObjetosAMédioSimples</t>
  </si>
  <si>
    <t>WFMJAVA: Transformação de ObjetosAMédioMédio</t>
  </si>
  <si>
    <t>WFMJAVA: Transformação de ObjetosAMédioComplexo</t>
  </si>
  <si>
    <t>WFMJAVA: Transformação de ObjetosAComplexoSimples</t>
  </si>
  <si>
    <t>WFMJAVA: Transformação de ObjetosAComplexoMédio</t>
  </si>
  <si>
    <t>WFMJAVA: Transformação de ObjetosAComplexoComplexo</t>
  </si>
  <si>
    <t>WFMJAVA: Métodos de Negócio (Controller)NSimples</t>
  </si>
  <si>
    <t>WFMJAVA: Métodos de Negócio (Controller)NMédio</t>
  </si>
  <si>
    <t>WFMJAVA: Métodos de Negócio (Controller)NComplexo</t>
  </si>
  <si>
    <t>WFMJAVA: Métodos de Negócio (Controller)ASimplesSimples</t>
  </si>
  <si>
    <t>WFMJAVA: Métodos de Negócio (Controller)ASimplesMédio</t>
  </si>
  <si>
    <t>WFMJAVA: Métodos de Negócio (Controller)ASimplesComplexo</t>
  </si>
  <si>
    <t>WFMJAVA: Métodos de Negócio (Controller)AMédioSimples</t>
  </si>
  <si>
    <t>WFMJAVA: Métodos de Negócio (Controller)AMédioMédio</t>
  </si>
  <si>
    <t>WFMJAVA: Métodos de Negócio (Controller)AMédioComplexo</t>
  </si>
  <si>
    <t>WFMJAVA: Métodos de Negócio (Controller)AComplexoSimples</t>
  </si>
  <si>
    <t>WFMJAVA: Métodos de Negócio (Controller)AComplexoMédio</t>
  </si>
  <si>
    <t>WFMJAVA: Métodos de Negócio (Controller)AComplexoComplexo</t>
  </si>
  <si>
    <t>WFMJAVA: EntityNSimples</t>
  </si>
  <si>
    <t>WFMJAVA: EntityNMédio</t>
  </si>
  <si>
    <t>WFMJAVA: EntityNComplexo</t>
  </si>
  <si>
    <t>WFMJAVA: EntityASimplesSimples</t>
  </si>
  <si>
    <t>WFMJAVA: EntityASimplesMédio</t>
  </si>
  <si>
    <t>WFMJAVA: EntityASimplesComplexo</t>
  </si>
  <si>
    <t>WFMJAVA: EntityAMédioSimples</t>
  </si>
  <si>
    <t>WFMJAVA: EntityAMédioMédio</t>
  </si>
  <si>
    <t>WFMJAVA: EntityAMédioComplexo</t>
  </si>
  <si>
    <t>WFMJAVA: EntityAComplexoSimples</t>
  </si>
  <si>
    <t>WFMJAVA: EntityAComplexoMédio</t>
  </si>
  <si>
    <t>WFMJAVA: EntityAComplexoComplexo</t>
  </si>
  <si>
    <t>WFMConfiguração Projeto/MóduloNSimples</t>
  </si>
  <si>
    <t>WFMConfiguração Projeto/MóduloNMédio</t>
  </si>
  <si>
    <t>WFMConfiguração Projeto/MóduloNComplexo</t>
  </si>
  <si>
    <t>WFMConfiguração Projeto/MóduloASimplesSimples</t>
  </si>
  <si>
    <t>WFMConfiguração Projeto/MóduloASimplesMédio</t>
  </si>
  <si>
    <t>WFMConfiguração Projeto/MóduloASimplesComplexo</t>
  </si>
  <si>
    <t>WFMConfiguração Projeto/MóduloAMédioSimples</t>
  </si>
  <si>
    <t>WFMConfiguração Projeto/MóduloAMédioMédio</t>
  </si>
  <si>
    <t>WFMConfiguração Projeto/MóduloAMédioComplexo</t>
  </si>
  <si>
    <t>WFMConfiguração Projeto/MóduloAComplexoSimples</t>
  </si>
  <si>
    <t>WFMConfiguração Projeto/MóduloAComplexoMédio</t>
  </si>
  <si>
    <t>WFMConfiguração Projeto/MóduloAComplexoComplexo</t>
  </si>
  <si>
    <t>WFMJSPNSimples</t>
  </si>
  <si>
    <t>WFMJSPNMedio</t>
  </si>
  <si>
    <t>WFMJSPNComplexo</t>
  </si>
  <si>
    <t>WFMJSPASimplesSimples</t>
  </si>
  <si>
    <t>WFMJSPASimplesMedio</t>
  </si>
  <si>
    <t>WFMJSPASimplesComplexo</t>
  </si>
  <si>
    <t>WFMJSPAMedioSimples</t>
  </si>
  <si>
    <t>WFMJSPAMedioMedio</t>
  </si>
  <si>
    <t>WFMJSPAMedioComplexo</t>
  </si>
  <si>
    <t>WFMJSPAComplexoSimples</t>
  </si>
  <si>
    <t>WFMJSPAComplexoMedio</t>
  </si>
  <si>
    <t>WFMJSPAComplexoComplexo</t>
  </si>
  <si>
    <t>WFMJSPNMédio</t>
  </si>
  <si>
    <t>WFMJSPAMédioSimples</t>
  </si>
  <si>
    <t>WFMJSPAMédioMédio</t>
  </si>
  <si>
    <t>WFMJSPAMédioComplexo</t>
  </si>
  <si>
    <t>WFMJSPAComplexoMédio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</si>
</sst>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0.0%"/>
    <numFmt numFmtId="165" formatCode="0.0"/>
  </numFmts>
  <fonts count="4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i/>
      <sz val="14"/>
      <name val="Arial"/>
      <family val="2"/>
    </font>
    <font>
      <b/>
      <i/>
      <sz val="2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 Narrow"/>
      <family val="2"/>
    </font>
    <font>
      <b/>
      <sz val="9"/>
      <name val="Arial Narrow"/>
      <family val="2"/>
    </font>
    <font>
      <sz val="10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4"/>
      <name val="Book Antiqua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name val="Book Antiqua"/>
      <family val="1"/>
    </font>
    <font>
      <b/>
      <i/>
      <sz val="10"/>
      <color indexed="55"/>
      <name val="Arial"/>
      <family val="2"/>
    </font>
    <font>
      <sz val="10"/>
      <color indexed="55"/>
      <name val="Arial"/>
      <family val="2"/>
    </font>
    <font>
      <b/>
      <sz val="11"/>
      <color indexed="55"/>
      <name val="Book Antiqua"/>
      <family val="1"/>
    </font>
    <font>
      <sz val="11"/>
      <color indexed="55"/>
      <name val="Book Antiqua"/>
      <family val="1"/>
    </font>
    <font>
      <sz val="8"/>
      <name val="Times New Roman"/>
      <family val="1"/>
    </font>
    <font>
      <i/>
      <sz val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10"/>
      <name val="Arial"/>
      <family val="2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theme="3" tint="-0.499984740745262"/>
      <name val="Calibri"/>
      <family val="2"/>
      <scheme val="minor"/>
    </font>
    <font>
      <sz val="11"/>
      <color rgb="FF1F497D"/>
      <name val="Calibri"/>
      <family val="2"/>
    </font>
    <font>
      <b/>
      <sz val="16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9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1" fillId="0" borderId="0"/>
    <xf numFmtId="9" fontId="1" fillId="0" borderId="0" applyFont="0" applyFill="0" applyBorder="0" applyAlignment="0" applyProtection="0"/>
  </cellStyleXfs>
  <cellXfs count="378">
    <xf numFmtId="0" fontId="0" fillId="0" borderId="0" xfId="0"/>
    <xf numFmtId="0" fontId="0" fillId="0" borderId="0" xfId="0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7" fillId="0" borderId="0" xfId="0" applyFont="1" applyAlignment="1">
      <alignment horizontal="center"/>
    </xf>
    <xf numFmtId="0" fontId="10" fillId="0" borderId="0" xfId="0" applyFont="1" applyAlignment="1">
      <alignment wrapText="1"/>
    </xf>
    <xf numFmtId="0" fontId="9" fillId="0" borderId="0" xfId="0" applyFont="1"/>
    <xf numFmtId="0" fontId="7" fillId="0" borderId="0" xfId="0" applyFont="1"/>
    <xf numFmtId="1" fontId="0" fillId="0" borderId="2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10" fillId="0" borderId="0" xfId="4" applyFont="1" applyBorder="1" applyAlignment="1"/>
    <xf numFmtId="0" fontId="12" fillId="0" borderId="0" xfId="4" applyFont="1" applyBorder="1" applyAlignment="1">
      <alignment wrapText="1"/>
    </xf>
    <xf numFmtId="0" fontId="12" fillId="0" borderId="0" xfId="4" applyFont="1" applyBorder="1"/>
    <xf numFmtId="0" fontId="12" fillId="0" borderId="0" xfId="4" applyFont="1" applyAlignment="1">
      <alignment wrapText="1"/>
    </xf>
    <xf numFmtId="0" fontId="12" fillId="0" borderId="0" xfId="4" applyFont="1"/>
    <xf numFmtId="0" fontId="7" fillId="3" borderId="14" xfId="4" applyFont="1" applyFill="1" applyBorder="1" applyAlignment="1">
      <alignment horizontal="center" wrapText="1"/>
    </xf>
    <xf numFmtId="0" fontId="7" fillId="3" borderId="15" xfId="4" applyFont="1" applyFill="1" applyBorder="1" applyAlignment="1">
      <alignment horizontal="center" wrapText="1"/>
    </xf>
    <xf numFmtId="0" fontId="7" fillId="3" borderId="16" xfId="4" applyFont="1" applyFill="1" applyBorder="1" applyAlignment="1">
      <alignment horizontal="center" wrapText="1"/>
    </xf>
    <xf numFmtId="0" fontId="12" fillId="0" borderId="17" xfId="4" applyFont="1" applyBorder="1"/>
    <xf numFmtId="0" fontId="6" fillId="0" borderId="0" xfId="4" applyFont="1" applyBorder="1" applyAlignment="1">
      <alignment horizontal="center"/>
    </xf>
    <xf numFmtId="0" fontId="11" fillId="0" borderId="0" xfId="4" applyFont="1" applyBorder="1" applyAlignment="1">
      <alignment horizontal="center"/>
    </xf>
    <xf numFmtId="0" fontId="12" fillId="0" borderId="0" xfId="4" applyFont="1" applyBorder="1" applyAlignment="1">
      <alignment horizontal="center" wrapText="1"/>
    </xf>
    <xf numFmtId="0" fontId="12" fillId="3" borderId="5" xfId="4" applyFont="1" applyFill="1" applyBorder="1"/>
    <xf numFmtId="0" fontId="12" fillId="0" borderId="0" xfId="4" applyFont="1" applyBorder="1" applyAlignment="1">
      <alignment horizontal="center"/>
    </xf>
    <xf numFmtId="0" fontId="12" fillId="0" borderId="0" xfId="4" applyFont="1" applyAlignment="1">
      <alignment horizontal="center"/>
    </xf>
    <xf numFmtId="0" fontId="12" fillId="0" borderId="18" xfId="4" applyFont="1" applyBorder="1" applyAlignment="1">
      <alignment horizontal="center"/>
    </xf>
    <xf numFmtId="0" fontId="12" fillId="0" borderId="18" xfId="4" applyFont="1" applyBorder="1" applyAlignment="1">
      <alignment horizontal="center" wrapText="1"/>
    </xf>
    <xf numFmtId="0" fontId="12" fillId="0" borderId="18" xfId="4" applyFont="1" applyBorder="1" applyAlignment="1">
      <alignment wrapText="1"/>
    </xf>
    <xf numFmtId="0" fontId="0" fillId="0" borderId="18" xfId="0" applyBorder="1"/>
    <xf numFmtId="0" fontId="12" fillId="0" borderId="0" xfId="0" applyFont="1" applyBorder="1" applyAlignment="1">
      <alignment horizontal="center"/>
    </xf>
    <xf numFmtId="0" fontId="12" fillId="0" borderId="0" xfId="0" applyFont="1" applyBorder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12" xfId="0" applyFont="1" applyBorder="1" applyAlignment="1">
      <alignment horizontal="center"/>
    </xf>
    <xf numFmtId="0" fontId="12" fillId="0" borderId="0" xfId="0" applyFont="1" applyAlignment="1">
      <alignment wrapText="1"/>
    </xf>
    <xf numFmtId="0" fontId="12" fillId="0" borderId="21" xfId="0" applyFont="1" applyBorder="1" applyAlignment="1">
      <alignment horizont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4" fillId="0" borderId="0" xfId="0" applyFont="1"/>
    <xf numFmtId="0" fontId="14" fillId="0" borderId="0" xfId="0" applyFont="1" applyBorder="1" applyAlignment="1">
      <alignment horizontal="center"/>
    </xf>
    <xf numFmtId="0" fontId="14" fillId="0" borderId="0" xfId="0" applyFont="1" applyBorder="1"/>
    <xf numFmtId="0" fontId="14" fillId="0" borderId="0" xfId="0" applyFont="1" applyAlignment="1">
      <alignment horizontal="center"/>
    </xf>
    <xf numFmtId="0" fontId="14" fillId="0" borderId="0" xfId="0" applyFont="1" applyAlignment="1">
      <alignment wrapText="1"/>
    </xf>
    <xf numFmtId="0" fontId="2" fillId="0" borderId="7" xfId="0" applyFont="1" applyBorder="1" applyAlignment="1">
      <alignment horizontal="left" wrapText="1"/>
    </xf>
    <xf numFmtId="1" fontId="2" fillId="0" borderId="1" xfId="0" applyNumberFormat="1" applyFont="1" applyBorder="1" applyAlignment="1">
      <alignment horizontal="left" wrapText="1"/>
    </xf>
    <xf numFmtId="1" fontId="2" fillId="0" borderId="3" xfId="0" applyNumberFormat="1" applyFont="1" applyBorder="1" applyAlignment="1">
      <alignment horizontal="left" wrapText="1"/>
    </xf>
    <xf numFmtId="0" fontId="7" fillId="0" borderId="0" xfId="0" applyFont="1" applyBorder="1" applyAlignment="1"/>
    <xf numFmtId="0" fontId="7" fillId="0" borderId="0" xfId="0" applyFont="1" applyBorder="1" applyAlignment="1">
      <alignment wrapText="1"/>
    </xf>
    <xf numFmtId="0" fontId="7" fillId="0" borderId="0" xfId="0" applyFont="1" applyBorder="1"/>
    <xf numFmtId="2" fontId="12" fillId="0" borderId="0" xfId="1" applyNumberFormat="1" applyFont="1" applyBorder="1" applyAlignment="1">
      <alignment wrapText="1"/>
    </xf>
    <xf numFmtId="0" fontId="7" fillId="0" borderId="0" xfId="0" applyFont="1" applyBorder="1" applyAlignment="1">
      <alignment horizontal="center"/>
    </xf>
    <xf numFmtId="2" fontId="14" fillId="0" borderId="0" xfId="0" applyNumberFormat="1" applyFont="1" applyBorder="1"/>
    <xf numFmtId="1" fontId="12" fillId="0" borderId="0" xfId="1" applyNumberFormat="1" applyFont="1" applyBorder="1" applyAlignment="1">
      <alignment wrapText="1"/>
    </xf>
    <xf numFmtId="1" fontId="7" fillId="0" borderId="0" xfId="0" applyNumberFormat="1" applyFont="1" applyBorder="1" applyAlignment="1">
      <alignment wrapText="1"/>
    </xf>
    <xf numFmtId="1" fontId="7" fillId="0" borderId="0" xfId="0" applyNumberFormat="1" applyFont="1" applyBorder="1"/>
    <xf numFmtId="2" fontId="12" fillId="0" borderId="1" xfId="0" applyNumberFormat="1" applyFont="1" applyBorder="1" applyAlignment="1">
      <alignment horizontal="center"/>
    </xf>
    <xf numFmtId="0" fontId="0" fillId="0" borderId="0" xfId="0" applyBorder="1"/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11" fillId="0" borderId="0" xfId="0" applyFont="1" applyBorder="1" applyAlignment="1">
      <alignment horizontal="center"/>
    </xf>
    <xf numFmtId="14" fontId="24" fillId="5" borderId="1" xfId="0" applyNumberFormat="1" applyFont="1" applyFill="1" applyBorder="1" applyAlignment="1">
      <alignment horizontal="center" vertical="top" wrapText="1"/>
    </xf>
    <xf numFmtId="0" fontId="24" fillId="0" borderId="1" xfId="0" applyFont="1" applyBorder="1" applyAlignment="1">
      <alignment vertical="top" wrapText="1"/>
    </xf>
    <xf numFmtId="1" fontId="8" fillId="0" borderId="0" xfId="0" applyNumberFormat="1" applyFont="1"/>
    <xf numFmtId="0" fontId="24" fillId="0" borderId="1" xfId="0" applyFont="1" applyBorder="1" applyAlignment="1">
      <alignment horizontal="center" vertical="top" wrapText="1"/>
    </xf>
    <xf numFmtId="0" fontId="2" fillId="6" borderId="1" xfId="0" applyFont="1" applyFill="1" applyBorder="1"/>
    <xf numFmtId="0" fontId="12" fillId="6" borderId="1" xfId="0" applyFont="1" applyFill="1" applyBorder="1" applyProtection="1">
      <protection locked="0"/>
    </xf>
    <xf numFmtId="1" fontId="12" fillId="6" borderId="1" xfId="0" applyNumberFormat="1" applyFont="1" applyFill="1" applyBorder="1" applyAlignment="1">
      <alignment horizontal="center"/>
    </xf>
    <xf numFmtId="0" fontId="12" fillId="6" borderId="1" xfId="0" applyFont="1" applyFill="1" applyBorder="1" applyAlignment="1" applyProtection="1">
      <alignment horizontal="center"/>
      <protection locked="0"/>
    </xf>
    <xf numFmtId="0" fontId="2" fillId="7" borderId="1" xfId="0" applyFont="1" applyFill="1" applyBorder="1"/>
    <xf numFmtId="0" fontId="12" fillId="7" borderId="1" xfId="0" applyFont="1" applyFill="1" applyBorder="1" applyProtection="1">
      <protection locked="0"/>
    </xf>
    <xf numFmtId="1" fontId="12" fillId="7" borderId="1" xfId="0" applyNumberFormat="1" applyFont="1" applyFill="1" applyBorder="1" applyAlignment="1">
      <alignment horizontal="center"/>
    </xf>
    <xf numFmtId="0" fontId="12" fillId="7" borderId="1" xfId="0" applyFont="1" applyFill="1" applyBorder="1" applyAlignment="1" applyProtection="1">
      <alignment horizontal="center"/>
      <protection locked="0"/>
    </xf>
    <xf numFmtId="0" fontId="12" fillId="0" borderId="0" xfId="4" applyFont="1" applyAlignment="1">
      <alignment horizontal="center" wrapText="1"/>
    </xf>
    <xf numFmtId="0" fontId="12" fillId="3" borderId="5" xfId="4" applyFont="1" applyFill="1" applyBorder="1" applyAlignment="1">
      <alignment horizontal="center"/>
    </xf>
    <xf numFmtId="0" fontId="2" fillId="6" borderId="3" xfId="0" applyFont="1" applyFill="1" applyBorder="1" applyAlignment="1">
      <alignment wrapText="1"/>
    </xf>
    <xf numFmtId="0" fontId="12" fillId="6" borderId="3" xfId="0" applyFont="1" applyFill="1" applyBorder="1" applyProtection="1">
      <protection locked="0"/>
    </xf>
    <xf numFmtId="1" fontId="12" fillId="6" borderId="3" xfId="0" applyNumberFormat="1" applyFont="1" applyFill="1" applyBorder="1" applyAlignment="1">
      <alignment horizontal="center"/>
    </xf>
    <xf numFmtId="0" fontId="12" fillId="6" borderId="3" xfId="0" applyFont="1" applyFill="1" applyBorder="1" applyAlignment="1" applyProtection="1">
      <alignment horizontal="center"/>
      <protection locked="0"/>
    </xf>
    <xf numFmtId="0" fontId="2" fillId="7" borderId="21" xfId="0" applyFont="1" applyFill="1" applyBorder="1"/>
    <xf numFmtId="0" fontId="7" fillId="8" borderId="14" xfId="0" applyFont="1" applyFill="1" applyBorder="1" applyAlignment="1">
      <alignment horizontal="center" vertical="center" wrapText="1"/>
    </xf>
    <xf numFmtId="0" fontId="7" fillId="8" borderId="15" xfId="0" applyFont="1" applyFill="1" applyBorder="1" applyAlignment="1">
      <alignment horizontal="center" vertical="center" wrapText="1"/>
    </xf>
    <xf numFmtId="0" fontId="7" fillId="8" borderId="15" xfId="0" applyFont="1" applyFill="1" applyBorder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0" fontId="2" fillId="7" borderId="40" xfId="0" applyFont="1" applyFill="1" applyBorder="1" applyAlignment="1">
      <alignment horizontal="left"/>
    </xf>
    <xf numFmtId="0" fontId="2" fillId="6" borderId="40" xfId="0" applyFont="1" applyFill="1" applyBorder="1" applyAlignment="1">
      <alignment horizontal="left"/>
    </xf>
    <xf numFmtId="0" fontId="2" fillId="6" borderId="41" xfId="0" applyFont="1" applyFill="1" applyBorder="1" applyAlignment="1">
      <alignment horizontal="left"/>
    </xf>
    <xf numFmtId="0" fontId="11" fillId="7" borderId="12" xfId="0" applyFont="1" applyFill="1" applyBorder="1" applyAlignment="1">
      <alignment horizontal="center" vertical="center" wrapText="1"/>
    </xf>
    <xf numFmtId="0" fontId="31" fillId="5" borderId="0" xfId="3" applyFont="1" applyFill="1" applyBorder="1" applyAlignment="1" applyProtection="1">
      <alignment vertical="center"/>
    </xf>
    <xf numFmtId="0" fontId="32" fillId="5" borderId="0" xfId="3" applyFont="1" applyFill="1" applyBorder="1" applyAlignment="1" applyProtection="1">
      <alignment vertical="center"/>
    </xf>
    <xf numFmtId="0" fontId="33" fillId="0" borderId="0" xfId="3" applyFont="1" applyAlignment="1" applyProtection="1">
      <alignment vertical="center"/>
    </xf>
    <xf numFmtId="0" fontId="34" fillId="0" borderId="0" xfId="3" applyFont="1" applyBorder="1" applyAlignment="1" applyProtection="1">
      <alignment horizontal="center" vertical="center"/>
    </xf>
    <xf numFmtId="0" fontId="33" fillId="0" borderId="0" xfId="3" applyFont="1" applyAlignment="1" applyProtection="1">
      <alignment horizontal="right" vertical="center"/>
    </xf>
    <xf numFmtId="0" fontId="32" fillId="9" borderId="0" xfId="3" applyFont="1" applyFill="1" applyBorder="1" applyAlignment="1" applyProtection="1">
      <alignment horizontal="left" wrapText="1"/>
    </xf>
    <xf numFmtId="0" fontId="33" fillId="7" borderId="19" xfId="3" applyFont="1" applyFill="1" applyBorder="1" applyAlignment="1" applyProtection="1">
      <alignment vertical="center"/>
    </xf>
    <xf numFmtId="0" fontId="33" fillId="7" borderId="35" xfId="3" applyFont="1" applyFill="1" applyBorder="1" applyAlignment="1" applyProtection="1">
      <alignment vertical="center"/>
    </xf>
    <xf numFmtId="0" fontId="33" fillId="7" borderId="24" xfId="3" applyFont="1" applyFill="1" applyBorder="1" applyAlignment="1" applyProtection="1">
      <alignment vertical="center"/>
    </xf>
    <xf numFmtId="0" fontId="33" fillId="7" borderId="28" xfId="3" applyFont="1" applyFill="1" applyBorder="1" applyAlignment="1" applyProtection="1">
      <alignment vertical="center"/>
    </xf>
    <xf numFmtId="0" fontId="35" fillId="7" borderId="0" xfId="3" applyFont="1" applyFill="1" applyBorder="1" applyAlignment="1" applyProtection="1">
      <alignment horizontal="left" vertical="center"/>
    </xf>
    <xf numFmtId="0" fontId="36" fillId="10" borderId="14" xfId="3" applyFont="1" applyFill="1" applyBorder="1" applyAlignment="1" applyProtection="1">
      <alignment horizontal="left" vertical="center"/>
    </xf>
    <xf numFmtId="0" fontId="36" fillId="10" borderId="15" xfId="3" applyFont="1" applyFill="1" applyBorder="1" applyAlignment="1" applyProtection="1">
      <alignment horizontal="left" vertical="center"/>
    </xf>
    <xf numFmtId="0" fontId="33" fillId="7" borderId="19" xfId="3" applyFont="1" applyFill="1" applyBorder="1" applyAlignment="1" applyProtection="1">
      <alignment vertical="center"/>
      <protection locked="0"/>
    </xf>
    <xf numFmtId="0" fontId="31" fillId="0" borderId="20" xfId="3" applyFont="1" applyFill="1" applyBorder="1" applyAlignment="1" applyProtection="1">
      <alignment horizontal="left" vertical="top"/>
      <protection locked="0"/>
    </xf>
    <xf numFmtId="0" fontId="33" fillId="0" borderId="21" xfId="3" applyFont="1" applyFill="1" applyBorder="1" applyAlignment="1" applyProtection="1">
      <alignment wrapText="1"/>
      <protection locked="0"/>
    </xf>
    <xf numFmtId="0" fontId="37" fillId="0" borderId="21" xfId="3" applyFont="1" applyFill="1" applyBorder="1" applyAlignment="1" applyProtection="1">
      <alignment wrapText="1"/>
      <protection locked="0"/>
    </xf>
    <xf numFmtId="0" fontId="33" fillId="7" borderId="35" xfId="3" applyFont="1" applyFill="1" applyBorder="1" applyAlignment="1" applyProtection="1">
      <alignment vertical="center"/>
      <protection locked="0"/>
    </xf>
    <xf numFmtId="0" fontId="31" fillId="0" borderId="23" xfId="3" applyFont="1" applyFill="1" applyBorder="1" applyAlignment="1" applyProtection="1">
      <alignment horizontal="left" vertical="top"/>
      <protection locked="0"/>
    </xf>
    <xf numFmtId="0" fontId="33" fillId="0" borderId="1" xfId="3" applyFont="1" applyFill="1" applyBorder="1" applyAlignment="1" applyProtection="1">
      <alignment wrapText="1"/>
      <protection locked="0"/>
    </xf>
    <xf numFmtId="0" fontId="37" fillId="0" borderId="1" xfId="3" applyFont="1" applyFill="1" applyBorder="1" applyAlignment="1" applyProtection="1">
      <alignment wrapText="1"/>
      <protection locked="0"/>
    </xf>
    <xf numFmtId="0" fontId="31" fillId="0" borderId="30" xfId="3" applyFont="1" applyFill="1" applyBorder="1" applyAlignment="1" applyProtection="1">
      <alignment horizontal="left" vertical="top"/>
      <protection locked="0"/>
    </xf>
    <xf numFmtId="0" fontId="33" fillId="0" borderId="3" xfId="3" applyFont="1" applyFill="1" applyBorder="1" applyAlignment="1" applyProtection="1">
      <alignment wrapText="1"/>
      <protection locked="0"/>
    </xf>
    <xf numFmtId="0" fontId="37" fillId="0" borderId="3" xfId="3" applyFont="1" applyFill="1" applyBorder="1" applyAlignment="1" applyProtection="1">
      <alignment wrapText="1"/>
      <protection locked="0"/>
    </xf>
    <xf numFmtId="0" fontId="31" fillId="7" borderId="0" xfId="3" applyFont="1" applyFill="1" applyBorder="1" applyAlignment="1" applyProtection="1">
      <alignment horizontal="center" vertical="center"/>
    </xf>
    <xf numFmtId="0" fontId="32" fillId="7" borderId="0" xfId="3" applyFont="1" applyFill="1" applyBorder="1" applyAlignment="1" applyProtection="1">
      <alignment vertical="center" wrapText="1"/>
    </xf>
    <xf numFmtId="0" fontId="33" fillId="7" borderId="0" xfId="3" applyFont="1" applyFill="1" applyBorder="1" applyAlignment="1" applyProtection="1">
      <alignment vertical="center"/>
    </xf>
    <xf numFmtId="0" fontId="31" fillId="7" borderId="27" xfId="3" applyFont="1" applyFill="1" applyBorder="1" applyAlignment="1" applyProtection="1">
      <alignment horizontal="left" vertical="top"/>
    </xf>
    <xf numFmtId="0" fontId="33" fillId="7" borderId="27" xfId="3" applyFont="1" applyFill="1" applyBorder="1" applyProtection="1"/>
    <xf numFmtId="0" fontId="37" fillId="7" borderId="27" xfId="3" applyFont="1" applyFill="1" applyBorder="1" applyProtection="1"/>
    <xf numFmtId="0" fontId="33" fillId="7" borderId="27" xfId="3" applyFont="1" applyFill="1" applyBorder="1" applyAlignment="1" applyProtection="1">
      <alignment horizontal="left" vertical="center"/>
    </xf>
    <xf numFmtId="0" fontId="32" fillId="5" borderId="0" xfId="3" applyFont="1" applyFill="1" applyAlignment="1" applyProtection="1">
      <alignment vertical="center"/>
    </xf>
    <xf numFmtId="0" fontId="38" fillId="0" borderId="0" xfId="3" applyFont="1" applyAlignment="1" applyProtection="1">
      <alignment vertical="center"/>
    </xf>
    <xf numFmtId="0" fontId="38" fillId="0" borderId="0" xfId="3" applyFont="1" applyProtection="1"/>
    <xf numFmtId="0" fontId="32" fillId="5" borderId="0" xfId="3" applyFont="1" applyFill="1" applyAlignment="1" applyProtection="1">
      <alignment horizontal="left" vertical="center"/>
    </xf>
    <xf numFmtId="0" fontId="33" fillId="0" borderId="0" xfId="3" applyFont="1" applyProtection="1"/>
    <xf numFmtId="0" fontId="38" fillId="0" borderId="0" xfId="3" applyFont="1" applyAlignment="1" applyProtection="1">
      <alignment horizontal="left" vertical="center"/>
    </xf>
    <xf numFmtId="0" fontId="23" fillId="5" borderId="1" xfId="0" applyFont="1" applyFill="1" applyBorder="1" applyAlignment="1">
      <alignment horizontal="center" vertical="top" wrapText="1"/>
    </xf>
    <xf numFmtId="0" fontId="39" fillId="0" borderId="9" xfId="0" applyFont="1" applyFill="1" applyBorder="1" applyAlignment="1" applyProtection="1">
      <alignment vertical="center" wrapText="1"/>
    </xf>
    <xf numFmtId="0" fontId="39" fillId="0" borderId="8" xfId="0" applyFont="1" applyFill="1" applyBorder="1" applyAlignment="1" applyProtection="1">
      <alignment vertical="center" wrapText="1"/>
    </xf>
    <xf numFmtId="0" fontId="40" fillId="10" borderId="1" xfId="3" applyFont="1" applyFill="1" applyBorder="1" applyAlignment="1" applyProtection="1">
      <alignment horizontal="right" vertical="center"/>
    </xf>
    <xf numFmtId="0" fontId="7" fillId="11" borderId="15" xfId="4" applyFont="1" applyFill="1" applyBorder="1" applyAlignment="1">
      <alignment horizontal="center" wrapText="1"/>
    </xf>
    <xf numFmtId="0" fontId="7" fillId="11" borderId="15" xfId="4" applyFont="1" applyFill="1" applyBorder="1" applyAlignment="1">
      <alignment horizontal="left" wrapText="1"/>
    </xf>
    <xf numFmtId="0" fontId="25" fillId="0" borderId="0" xfId="0" applyFont="1" applyBorder="1" applyAlignment="1">
      <alignment horizontal="left" vertical="top" wrapText="1"/>
    </xf>
    <xf numFmtId="0" fontId="19" fillId="5" borderId="42" xfId="0" applyFont="1" applyFill="1" applyBorder="1" applyAlignment="1">
      <alignment horizontal="center" vertical="top" wrapText="1"/>
    </xf>
    <xf numFmtId="0" fontId="19" fillId="5" borderId="43" xfId="0" applyFont="1" applyFill="1" applyBorder="1" applyAlignment="1">
      <alignment horizontal="center" vertical="top" wrapText="1"/>
    </xf>
    <xf numFmtId="0" fontId="19" fillId="5" borderId="31" xfId="0" applyFont="1" applyFill="1" applyBorder="1" applyAlignment="1">
      <alignment horizontal="center" vertical="top" wrapText="1"/>
    </xf>
    <xf numFmtId="14" fontId="20" fillId="0" borderId="1" xfId="0" applyNumberFormat="1" applyFont="1" applyBorder="1" applyAlignment="1">
      <alignment horizontal="center" vertical="top" wrapText="1"/>
    </xf>
    <xf numFmtId="0" fontId="20" fillId="0" borderId="1" xfId="0" applyFont="1" applyBorder="1" applyAlignment="1">
      <alignment vertical="top" wrapText="1"/>
    </xf>
    <xf numFmtId="0" fontId="20" fillId="0" borderId="23" xfId="0" applyFont="1" applyBorder="1" applyAlignment="1">
      <alignment horizontal="center" vertical="top" wrapText="1"/>
    </xf>
    <xf numFmtId="0" fontId="20" fillId="0" borderId="12" xfId="0" applyFont="1" applyBorder="1" applyAlignment="1">
      <alignment vertical="top" wrapText="1"/>
    </xf>
    <xf numFmtId="0" fontId="20" fillId="0" borderId="30" xfId="0" applyFont="1" applyBorder="1" applyAlignment="1">
      <alignment horizontal="center" vertical="top" wrapText="1"/>
    </xf>
    <xf numFmtId="0" fontId="20" fillId="0" borderId="3" xfId="0" applyFont="1" applyBorder="1" applyAlignment="1">
      <alignment horizontal="center" vertical="top" wrapText="1"/>
    </xf>
    <xf numFmtId="0" fontId="20" fillId="0" borderId="3" xfId="0" applyFont="1" applyBorder="1" applyAlignment="1">
      <alignment vertical="top" wrapText="1"/>
    </xf>
    <xf numFmtId="0" fontId="20" fillId="0" borderId="13" xfId="0" applyFont="1" applyBorder="1" applyAlignment="1">
      <alignment vertical="top" wrapText="1"/>
    </xf>
    <xf numFmtId="0" fontId="7" fillId="0" borderId="0" xfId="0" applyFont="1" applyFill="1" applyBorder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left" wrapText="1"/>
    </xf>
    <xf numFmtId="0" fontId="12" fillId="0" borderId="0" xfId="0" applyFont="1" applyFill="1" applyBorder="1" applyAlignment="1"/>
    <xf numFmtId="1" fontId="12" fillId="0" borderId="0" xfId="1" applyNumberFormat="1" applyFont="1" applyFill="1" applyBorder="1" applyAlignment="1">
      <alignment wrapText="1"/>
    </xf>
    <xf numFmtId="0" fontId="12" fillId="3" borderId="5" xfId="4" applyFont="1" applyFill="1" applyBorder="1" applyAlignment="1">
      <alignment horizontal="center" vertical="center"/>
    </xf>
    <xf numFmtId="0" fontId="12" fillId="0" borderId="44" xfId="4" applyFont="1" applyBorder="1" applyAlignment="1">
      <alignment horizontal="center" wrapText="1"/>
    </xf>
    <xf numFmtId="0" fontId="7" fillId="11" borderId="10" xfId="4" applyFont="1" applyFill="1" applyBorder="1" applyAlignment="1">
      <alignment horizontal="center" wrapText="1"/>
    </xf>
    <xf numFmtId="0" fontId="7" fillId="11" borderId="5" xfId="4" applyFont="1" applyFill="1" applyBorder="1" applyAlignment="1">
      <alignment horizontal="center" wrapText="1"/>
    </xf>
    <xf numFmtId="0" fontId="12" fillId="0" borderId="1" xfId="0" applyFont="1" applyBorder="1" applyAlignment="1"/>
    <xf numFmtId="0" fontId="7" fillId="0" borderId="1" xfId="0" applyFont="1" applyBorder="1" applyAlignment="1">
      <alignment horizontal="center"/>
    </xf>
    <xf numFmtId="0" fontId="12" fillId="0" borderId="1" xfId="0" applyFont="1" applyBorder="1"/>
    <xf numFmtId="9" fontId="11" fillId="4" borderId="36" xfId="5" applyFont="1" applyFill="1" applyBorder="1" applyAlignment="1">
      <alignment horizontal="left"/>
    </xf>
    <xf numFmtId="0" fontId="11" fillId="4" borderId="36" xfId="5" applyNumberFormat="1" applyFont="1" applyFill="1" applyBorder="1" applyAlignment="1">
      <alignment horizontal="left"/>
    </xf>
    <xf numFmtId="0" fontId="11" fillId="4" borderId="9" xfId="0" applyFont="1" applyFill="1" applyBorder="1" applyAlignment="1">
      <alignment horizontal="right"/>
    </xf>
    <xf numFmtId="1" fontId="12" fillId="0" borderId="1" xfId="1" applyNumberFormat="1" applyFont="1" applyBorder="1" applyAlignment="1">
      <alignment horizontal="center" wrapText="1"/>
    </xf>
    <xf numFmtId="2" fontId="12" fillId="0" borderId="1" xfId="1" applyNumberFormat="1" applyFont="1" applyBorder="1" applyAlignment="1">
      <alignment horizontal="center" wrapText="1"/>
    </xf>
    <xf numFmtId="2" fontId="0" fillId="0" borderId="1" xfId="0" applyNumberFormat="1" applyBorder="1" applyAlignment="1">
      <alignment horizontal="center"/>
    </xf>
    <xf numFmtId="1" fontId="12" fillId="0" borderId="21" xfId="1" applyNumberFormat="1" applyFont="1" applyBorder="1" applyAlignment="1">
      <alignment horizontal="center" wrapText="1"/>
    </xf>
    <xf numFmtId="2" fontId="12" fillId="0" borderId="21" xfId="1" applyNumberFormat="1" applyFont="1" applyBorder="1" applyAlignment="1">
      <alignment horizontal="center" wrapText="1"/>
    </xf>
    <xf numFmtId="0" fontId="12" fillId="0" borderId="40" xfId="0" applyFont="1" applyBorder="1" applyAlignment="1"/>
    <xf numFmtId="1" fontId="12" fillId="12" borderId="1" xfId="1" applyNumberFormat="1" applyFont="1" applyFill="1" applyBorder="1" applyAlignment="1">
      <alignment horizontal="center" wrapText="1"/>
    </xf>
    <xf numFmtId="2" fontId="12" fillId="12" borderId="1" xfId="1" applyNumberFormat="1" applyFont="1" applyFill="1" applyBorder="1" applyAlignment="1">
      <alignment horizontal="center" wrapText="1"/>
    </xf>
    <xf numFmtId="1" fontId="7" fillId="12" borderId="1" xfId="0" applyNumberFormat="1" applyFont="1" applyFill="1" applyBorder="1" applyAlignment="1">
      <alignment horizontal="center" wrapText="1"/>
    </xf>
    <xf numFmtId="2" fontId="7" fillId="12" borderId="1" xfId="0" applyNumberFormat="1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center"/>
    </xf>
    <xf numFmtId="2" fontId="12" fillId="0" borderId="21" xfId="0" applyNumberFormat="1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12" fillId="0" borderId="21" xfId="0" applyFont="1" applyBorder="1" applyAlignment="1"/>
    <xf numFmtId="0" fontId="7" fillId="3" borderId="10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 wrapText="1"/>
    </xf>
    <xf numFmtId="2" fontId="14" fillId="0" borderId="15" xfId="0" applyNumberFormat="1" applyFont="1" applyBorder="1"/>
    <xf numFmtId="0" fontId="7" fillId="3" borderId="15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/>
    </xf>
    <xf numFmtId="1" fontId="11" fillId="12" borderId="1" xfId="1" applyNumberFormat="1" applyFont="1" applyFill="1" applyBorder="1" applyAlignment="1">
      <alignment horizontal="center" wrapText="1"/>
    </xf>
    <xf numFmtId="2" fontId="11" fillId="12" borderId="1" xfId="1" applyNumberFormat="1" applyFont="1" applyFill="1" applyBorder="1" applyAlignment="1">
      <alignment horizontal="center" wrapText="1"/>
    </xf>
    <xf numFmtId="2" fontId="6" fillId="12" borderId="1" xfId="0" applyNumberFormat="1" applyFont="1" applyFill="1" applyBorder="1" applyAlignment="1">
      <alignment horizontal="center"/>
    </xf>
    <xf numFmtId="1" fontId="14" fillId="0" borderId="21" xfId="1" applyNumberFormat="1" applyFont="1" applyBorder="1" applyAlignment="1">
      <alignment horizontal="center" wrapText="1"/>
    </xf>
    <xf numFmtId="1" fontId="14" fillId="0" borderId="1" xfId="1" applyNumberFormat="1" applyFont="1" applyBorder="1" applyAlignment="1">
      <alignment horizontal="center" wrapText="1"/>
    </xf>
    <xf numFmtId="0" fontId="32" fillId="5" borderId="0" xfId="3" applyFont="1" applyFill="1" applyBorder="1" applyAlignment="1" applyProtection="1">
      <alignment horizontal="left" wrapText="1"/>
      <protection locked="0"/>
    </xf>
    <xf numFmtId="0" fontId="11" fillId="7" borderId="37" xfId="0" applyFont="1" applyFill="1" applyBorder="1" applyAlignment="1">
      <alignment horizontal="center" vertical="center" wrapText="1"/>
    </xf>
    <xf numFmtId="0" fontId="40" fillId="10" borderId="46" xfId="3" applyFont="1" applyFill="1" applyBorder="1" applyAlignment="1" applyProtection="1">
      <alignment horizontal="right" vertical="center"/>
    </xf>
    <xf numFmtId="0" fontId="12" fillId="0" borderId="1" xfId="0" applyFont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1" fontId="12" fillId="0" borderId="0" xfId="1" applyNumberFormat="1" applyFont="1" applyFill="1" applyBorder="1" applyAlignment="1">
      <alignment horizontal="center" wrapText="1"/>
    </xf>
    <xf numFmtId="2" fontId="12" fillId="0" borderId="0" xfId="1" applyNumberFormat="1" applyFont="1" applyFill="1" applyBorder="1" applyAlignment="1">
      <alignment horizontal="center" wrapText="1"/>
    </xf>
    <xf numFmtId="2" fontId="0" fillId="0" borderId="0" xfId="0" applyNumberFormat="1" applyFill="1" applyBorder="1" applyAlignment="1">
      <alignment horizontal="center"/>
    </xf>
    <xf numFmtId="0" fontId="11" fillId="7" borderId="1" xfId="0" applyFont="1" applyFill="1" applyBorder="1" applyAlignment="1">
      <alignment vertical="center" wrapText="1"/>
    </xf>
    <xf numFmtId="1" fontId="2" fillId="0" borderId="1" xfId="1" applyNumberFormat="1" applyFont="1" applyBorder="1" applyAlignment="1">
      <alignment horizontal="center" wrapText="1"/>
    </xf>
    <xf numFmtId="1" fontId="2" fillId="0" borderId="30" xfId="0" applyNumberFormat="1" applyFont="1" applyBorder="1" applyAlignment="1">
      <alignment horizontal="left" wrapText="1"/>
    </xf>
    <xf numFmtId="0" fontId="0" fillId="2" borderId="45" xfId="0" applyFill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0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1" fontId="2" fillId="0" borderId="21" xfId="0" applyNumberFormat="1" applyFont="1" applyBorder="1" applyAlignment="1">
      <alignment horizontal="left" wrapText="1"/>
    </xf>
    <xf numFmtId="0" fontId="0" fillId="9" borderId="0" xfId="0" applyFill="1"/>
    <xf numFmtId="9" fontId="12" fillId="7" borderId="12" xfId="5" applyFont="1" applyFill="1" applyBorder="1" applyAlignment="1">
      <alignment horizontal="center"/>
    </xf>
    <xf numFmtId="164" fontId="12" fillId="6" borderId="12" xfId="5" applyNumberFormat="1" applyFont="1" applyFill="1" applyBorder="1" applyAlignment="1">
      <alignment horizontal="center"/>
    </xf>
    <xf numFmtId="164" fontId="12" fillId="7" borderId="12" xfId="5" applyNumberFormat="1" applyFont="1" applyFill="1" applyBorder="1" applyAlignment="1">
      <alignment horizontal="center"/>
    </xf>
    <xf numFmtId="164" fontId="12" fillId="6" borderId="13" xfId="5" applyNumberFormat="1" applyFont="1" applyFill="1" applyBorder="1" applyAlignment="1">
      <alignment horizontal="center"/>
    </xf>
    <xf numFmtId="0" fontId="7" fillId="20" borderId="0" xfId="0" applyFont="1" applyFill="1" applyAlignment="1">
      <alignment horizontal="right"/>
    </xf>
    <xf numFmtId="0" fontId="0" fillId="2" borderId="9" xfId="0" applyFill="1" applyBorder="1" applyAlignment="1">
      <alignment horizontal="center"/>
    </xf>
    <xf numFmtId="0" fontId="1" fillId="0" borderId="0" xfId="0" applyFont="1"/>
    <xf numFmtId="0" fontId="6" fillId="22" borderId="0" xfId="0" applyFont="1" applyFill="1"/>
    <xf numFmtId="165" fontId="12" fillId="7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2" fillId="0" borderId="55" xfId="0" applyFont="1" applyFill="1" applyBorder="1" applyAlignment="1">
      <alignment horizontal="center"/>
    </xf>
    <xf numFmtId="0" fontId="45" fillId="19" borderId="21" xfId="0" quotePrefix="1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/>
    </xf>
    <xf numFmtId="0" fontId="33" fillId="0" borderId="21" xfId="3" applyFont="1" applyFill="1" applyBorder="1" applyAlignment="1" applyProtection="1">
      <alignment horizontal="left" vertical="center"/>
      <protection locked="0"/>
    </xf>
    <xf numFmtId="0" fontId="3" fillId="5" borderId="1" xfId="2" applyFill="1" applyBorder="1" applyAlignment="1" applyProtection="1">
      <alignment horizontal="center" vertical="center" wrapText="1"/>
      <protection locked="0"/>
    </xf>
    <xf numFmtId="0" fontId="32" fillId="5" borderId="1" xfId="3" applyFont="1" applyFill="1" applyBorder="1" applyAlignment="1" applyProtection="1">
      <alignment horizontal="center" vertical="center" wrapText="1"/>
      <protection locked="0"/>
    </xf>
    <xf numFmtId="0" fontId="33" fillId="0" borderId="47" xfId="3" applyFont="1" applyFill="1" applyBorder="1" applyAlignment="1" applyProtection="1">
      <alignment horizontal="left" vertical="center" wrapText="1"/>
      <protection locked="0"/>
    </xf>
    <xf numFmtId="0" fontId="33" fillId="0" borderId="48" xfId="3" applyFont="1" applyFill="1" applyBorder="1" applyAlignment="1" applyProtection="1">
      <alignment horizontal="left" vertical="center" wrapText="1"/>
      <protection locked="0"/>
    </xf>
    <xf numFmtId="0" fontId="33" fillId="0" borderId="34" xfId="3" applyFont="1" applyFill="1" applyBorder="1" applyAlignment="1" applyProtection="1">
      <alignment horizontal="left" vertical="center" wrapText="1"/>
      <protection locked="0"/>
    </xf>
    <xf numFmtId="0" fontId="35" fillId="13" borderId="14" xfId="3" applyFont="1" applyFill="1" applyBorder="1" applyAlignment="1" applyProtection="1">
      <alignment horizontal="left" vertical="center"/>
    </xf>
    <xf numFmtId="0" fontId="35" fillId="13" borderId="15" xfId="3" applyFont="1" applyFill="1" applyBorder="1" applyAlignment="1" applyProtection="1">
      <alignment horizontal="left" vertical="center"/>
    </xf>
    <xf numFmtId="0" fontId="35" fillId="13" borderId="16" xfId="3" applyFont="1" applyFill="1" applyBorder="1" applyAlignment="1" applyProtection="1">
      <alignment horizontal="left" vertical="center"/>
    </xf>
    <xf numFmtId="0" fontId="36" fillId="10" borderId="15" xfId="3" applyFont="1" applyFill="1" applyBorder="1" applyAlignment="1" applyProtection="1">
      <alignment horizontal="left" vertical="center"/>
    </xf>
    <xf numFmtId="0" fontId="36" fillId="14" borderId="23" xfId="3" applyFont="1" applyFill="1" applyBorder="1" applyAlignment="1" applyProtection="1">
      <alignment horizontal="left" vertical="top"/>
    </xf>
    <xf numFmtId="0" fontId="36" fillId="14" borderId="1" xfId="3" applyFont="1" applyFill="1" applyBorder="1" applyAlignment="1" applyProtection="1">
      <alignment horizontal="left" vertical="top"/>
    </xf>
    <xf numFmtId="0" fontId="33" fillId="0" borderId="3" xfId="3" applyFont="1" applyFill="1" applyBorder="1" applyAlignment="1" applyProtection="1">
      <alignment horizontal="left" vertical="center" wrapText="1"/>
      <protection locked="0"/>
    </xf>
    <xf numFmtId="0" fontId="33" fillId="0" borderId="46" xfId="3" applyFont="1" applyFill="1" applyBorder="1" applyAlignment="1" applyProtection="1">
      <alignment horizontal="left" vertical="center" wrapText="1"/>
      <protection locked="0"/>
    </xf>
    <xf numFmtId="0" fontId="33" fillId="0" borderId="51" xfId="3" applyFont="1" applyFill="1" applyBorder="1" applyAlignment="1" applyProtection="1">
      <alignment horizontal="left" vertical="center" wrapText="1"/>
      <protection locked="0"/>
    </xf>
    <xf numFmtId="0" fontId="33" fillId="0" borderId="33" xfId="3" applyFont="1" applyFill="1" applyBorder="1" applyAlignment="1" applyProtection="1">
      <alignment horizontal="left" vertical="center" wrapText="1"/>
      <protection locked="0"/>
    </xf>
    <xf numFmtId="0" fontId="32" fillId="5" borderId="46" xfId="3" applyFont="1" applyFill="1" applyBorder="1" applyAlignment="1" applyProtection="1">
      <alignment horizontal="center" wrapText="1"/>
      <protection locked="0"/>
    </xf>
    <xf numFmtId="0" fontId="32" fillId="5" borderId="51" xfId="3" applyFont="1" applyFill="1" applyBorder="1" applyAlignment="1" applyProtection="1">
      <alignment horizontal="center" wrapText="1"/>
      <protection locked="0"/>
    </xf>
    <xf numFmtId="0" fontId="32" fillId="5" borderId="33" xfId="3" applyFont="1" applyFill="1" applyBorder="1" applyAlignment="1" applyProtection="1">
      <alignment horizontal="center" wrapText="1"/>
      <protection locked="0"/>
    </xf>
    <xf numFmtId="0" fontId="42" fillId="0" borderId="8" xfId="0" applyFont="1" applyFill="1" applyBorder="1" applyAlignment="1" applyProtection="1">
      <alignment horizontal="center" vertical="center" wrapText="1"/>
    </xf>
    <xf numFmtId="0" fontId="42" fillId="0" borderId="36" xfId="0" applyFont="1" applyFill="1" applyBorder="1" applyAlignment="1" applyProtection="1">
      <alignment horizontal="center" vertical="center" wrapText="1"/>
    </xf>
    <xf numFmtId="0" fontId="3" fillId="0" borderId="1" xfId="2" applyBorder="1" applyAlignment="1" applyProtection="1">
      <alignment horizontal="center"/>
    </xf>
    <xf numFmtId="0" fontId="0" fillId="0" borderId="1" xfId="0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3" fillId="0" borderId="49" xfId="3" applyFont="1" applyFill="1" applyBorder="1" applyAlignment="1" applyProtection="1">
      <alignment vertical="center" wrapText="1"/>
      <protection locked="0"/>
    </xf>
    <xf numFmtId="0" fontId="33" fillId="0" borderId="50" xfId="3" applyFont="1" applyFill="1" applyBorder="1" applyAlignment="1" applyProtection="1">
      <alignment vertical="center" wrapText="1"/>
      <protection locked="0"/>
    </xf>
    <xf numFmtId="0" fontId="33" fillId="0" borderId="32" xfId="3" applyFont="1" applyFill="1" applyBorder="1" applyAlignment="1" applyProtection="1">
      <alignment vertical="center" wrapText="1"/>
      <protection locked="0"/>
    </xf>
    <xf numFmtId="0" fontId="43" fillId="15" borderId="52" xfId="3" applyFont="1" applyFill="1" applyBorder="1" applyAlignment="1" applyProtection="1">
      <alignment horizontal="left" vertical="center"/>
    </xf>
    <xf numFmtId="0" fontId="43" fillId="15" borderId="2" xfId="3" applyFont="1" applyFill="1" applyBorder="1" applyAlignment="1" applyProtection="1">
      <alignment horizontal="left" vertical="center"/>
    </xf>
    <xf numFmtId="0" fontId="43" fillId="15" borderId="11" xfId="3" applyFont="1" applyFill="1" applyBorder="1" applyAlignment="1" applyProtection="1">
      <alignment horizontal="left" vertical="center"/>
    </xf>
    <xf numFmtId="0" fontId="36" fillId="10" borderId="53" xfId="3" applyFont="1" applyFill="1" applyBorder="1" applyAlignment="1" applyProtection="1">
      <alignment horizontal="left" vertical="center"/>
    </xf>
    <xf numFmtId="0" fontId="36" fillId="10" borderId="8" xfId="3" applyFont="1" applyFill="1" applyBorder="1" applyAlignment="1" applyProtection="1">
      <alignment horizontal="left" vertical="center"/>
    </xf>
    <xf numFmtId="0" fontId="36" fillId="10" borderId="36" xfId="3" applyFont="1" applyFill="1" applyBorder="1" applyAlignment="1" applyProtection="1">
      <alignment horizontal="left" vertical="center"/>
    </xf>
    <xf numFmtId="16" fontId="32" fillId="5" borderId="46" xfId="3" applyNumberFormat="1" applyFont="1" applyFill="1" applyBorder="1" applyAlignment="1" applyProtection="1">
      <alignment horizontal="center" wrapText="1"/>
      <protection locked="0"/>
    </xf>
    <xf numFmtId="0" fontId="32" fillId="5" borderId="40" xfId="3" applyFont="1" applyFill="1" applyBorder="1" applyAlignment="1" applyProtection="1">
      <alignment horizontal="center" wrapText="1"/>
      <protection locked="0"/>
    </xf>
    <xf numFmtId="0" fontId="43" fillId="15" borderId="9" xfId="3" applyFont="1" applyFill="1" applyBorder="1" applyAlignment="1" applyProtection="1">
      <alignment horizontal="left" vertical="center"/>
    </xf>
    <xf numFmtId="0" fontId="43" fillId="15" borderId="8" xfId="3" applyFont="1" applyFill="1" applyBorder="1" applyAlignment="1" applyProtection="1">
      <alignment horizontal="left" vertical="center"/>
    </xf>
    <xf numFmtId="0" fontId="43" fillId="15" borderId="36" xfId="3" applyFont="1" applyFill="1" applyBorder="1" applyAlignment="1" applyProtection="1">
      <alignment horizontal="left" vertical="center"/>
    </xf>
    <xf numFmtId="0" fontId="32" fillId="5" borderId="1" xfId="3" applyFont="1" applyFill="1" applyBorder="1" applyAlignment="1" applyProtection="1">
      <alignment horizontal="center" wrapText="1"/>
      <protection locked="0"/>
    </xf>
    <xf numFmtId="0" fontId="32" fillId="5" borderId="4" xfId="3" applyFont="1" applyFill="1" applyBorder="1" applyAlignment="1" applyProtection="1">
      <alignment horizontal="center" vertical="center"/>
      <protection locked="0"/>
    </xf>
    <xf numFmtId="0" fontId="32" fillId="5" borderId="45" xfId="3" applyFont="1" applyFill="1" applyBorder="1" applyAlignment="1" applyProtection="1">
      <alignment horizontal="center" vertical="center"/>
      <protection locked="0"/>
    </xf>
    <xf numFmtId="0" fontId="32" fillId="5" borderId="31" xfId="3" applyFont="1" applyFill="1" applyBorder="1" applyAlignment="1" applyProtection="1">
      <alignment horizontal="center" vertical="center"/>
      <protection locked="0"/>
    </xf>
    <xf numFmtId="0" fontId="32" fillId="5" borderId="19" xfId="3" applyFont="1" applyFill="1" applyBorder="1" applyAlignment="1" applyProtection="1">
      <alignment horizontal="center" vertical="center"/>
      <protection locked="0"/>
    </xf>
    <xf numFmtId="0" fontId="32" fillId="5" borderId="0" xfId="3" applyFont="1" applyFill="1" applyBorder="1" applyAlignment="1" applyProtection="1">
      <alignment horizontal="center" vertical="center"/>
      <protection locked="0"/>
    </xf>
    <xf numFmtId="0" fontId="32" fillId="5" borderId="35" xfId="3" applyFont="1" applyFill="1" applyBorder="1" applyAlignment="1" applyProtection="1">
      <alignment horizontal="center" vertical="center"/>
      <protection locked="0"/>
    </xf>
    <xf numFmtId="0" fontId="32" fillId="5" borderId="24" xfId="3" applyFont="1" applyFill="1" applyBorder="1" applyAlignment="1" applyProtection="1">
      <alignment horizontal="center" vertical="center"/>
      <protection locked="0"/>
    </xf>
    <xf numFmtId="0" fontId="32" fillId="5" borderId="27" xfId="3" applyFont="1" applyFill="1" applyBorder="1" applyAlignment="1" applyProtection="1">
      <alignment horizontal="center" vertical="center"/>
      <protection locked="0"/>
    </xf>
    <xf numFmtId="0" fontId="32" fillId="5" borderId="28" xfId="3" applyFont="1" applyFill="1" applyBorder="1" applyAlignment="1" applyProtection="1">
      <alignment horizontal="center" vertical="center"/>
      <protection locked="0"/>
    </xf>
    <xf numFmtId="0" fontId="3" fillId="5" borderId="1" xfId="2" applyFill="1" applyBorder="1" applyAlignment="1" applyProtection="1">
      <alignment horizontal="center" wrapText="1"/>
      <protection locked="0"/>
    </xf>
    <xf numFmtId="0" fontId="32" fillId="5" borderId="1" xfId="3" applyFont="1" applyFill="1" applyBorder="1" applyAlignment="1" applyProtection="1">
      <alignment horizontal="left" wrapText="1"/>
      <protection locked="0"/>
    </xf>
    <xf numFmtId="0" fontId="32" fillId="5" borderId="12" xfId="3" applyFont="1" applyFill="1" applyBorder="1" applyAlignment="1" applyProtection="1">
      <alignment horizontal="left" wrapText="1"/>
      <protection locked="0"/>
    </xf>
    <xf numFmtId="0" fontId="36" fillId="14" borderId="1" xfId="3" applyFont="1" applyFill="1" applyBorder="1" applyAlignment="1" applyProtection="1">
      <alignment horizontal="center" vertical="top"/>
    </xf>
    <xf numFmtId="0" fontId="36" fillId="14" borderId="30" xfId="3" applyFont="1" applyFill="1" applyBorder="1" applyAlignment="1" applyProtection="1">
      <alignment horizontal="left" vertical="top"/>
    </xf>
    <xf numFmtId="0" fontId="36" fillId="14" borderId="3" xfId="3" applyFont="1" applyFill="1" applyBorder="1" applyAlignment="1" applyProtection="1">
      <alignment horizontal="left" vertical="top"/>
    </xf>
    <xf numFmtId="0" fontId="32" fillId="5" borderId="47" xfId="3" applyFont="1" applyFill="1" applyBorder="1" applyAlignment="1" applyProtection="1">
      <alignment horizontal="left" wrapText="1"/>
      <protection locked="0"/>
    </xf>
    <xf numFmtId="0" fontId="32" fillId="5" borderId="48" xfId="3" applyFont="1" applyFill="1" applyBorder="1" applyAlignment="1" applyProtection="1">
      <alignment horizontal="left" wrapText="1"/>
      <protection locked="0"/>
    </xf>
    <xf numFmtId="0" fontId="32" fillId="5" borderId="34" xfId="3" applyFont="1" applyFill="1" applyBorder="1" applyAlignment="1" applyProtection="1">
      <alignment horizontal="left" wrapText="1"/>
      <protection locked="0"/>
    </xf>
    <xf numFmtId="0" fontId="43" fillId="15" borderId="46" xfId="3" applyFont="1" applyFill="1" applyBorder="1" applyAlignment="1" applyProtection="1">
      <alignment horizontal="center" vertical="center"/>
    </xf>
    <xf numFmtId="0" fontId="43" fillId="15" borderId="51" xfId="3" applyFont="1" applyFill="1" applyBorder="1" applyAlignment="1" applyProtection="1">
      <alignment horizontal="center" vertical="center"/>
    </xf>
    <xf numFmtId="0" fontId="43" fillId="15" borderId="40" xfId="3" applyFont="1" applyFill="1" applyBorder="1" applyAlignment="1" applyProtection="1">
      <alignment horizontal="center" vertical="center"/>
    </xf>
    <xf numFmtId="0" fontId="7" fillId="3" borderId="9" xfId="4" applyFont="1" applyFill="1" applyBorder="1" applyAlignment="1">
      <alignment horizontal="center" wrapText="1"/>
    </xf>
    <xf numFmtId="0" fontId="7" fillId="3" borderId="8" xfId="4" applyFont="1" applyFill="1" applyBorder="1" applyAlignment="1">
      <alignment horizontal="center" wrapText="1"/>
    </xf>
    <xf numFmtId="0" fontId="7" fillId="3" borderId="36" xfId="4" applyFont="1" applyFill="1" applyBorder="1" applyAlignment="1">
      <alignment horizontal="center" wrapText="1"/>
    </xf>
    <xf numFmtId="0" fontId="13" fillId="0" borderId="4" xfId="4" applyFont="1" applyBorder="1" applyAlignment="1">
      <alignment horizontal="center" vertical="center"/>
    </xf>
    <xf numFmtId="0" fontId="13" fillId="0" borderId="45" xfId="4" applyFont="1" applyBorder="1" applyAlignment="1">
      <alignment horizontal="center" vertical="center"/>
    </xf>
    <xf numFmtId="0" fontId="13" fillId="0" borderId="24" xfId="4" applyFont="1" applyBorder="1" applyAlignment="1">
      <alignment horizontal="center" vertical="center"/>
    </xf>
    <xf numFmtId="0" fontId="13" fillId="0" borderId="27" xfId="4" applyFont="1" applyBorder="1" applyAlignment="1">
      <alignment horizontal="center" vertical="center"/>
    </xf>
    <xf numFmtId="0" fontId="7" fillId="12" borderId="46" xfId="0" applyFont="1" applyFill="1" applyBorder="1" applyAlignment="1">
      <alignment horizontal="center"/>
    </xf>
    <xf numFmtId="0" fontId="7" fillId="12" borderId="4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/>
    </xf>
    <xf numFmtId="0" fontId="6" fillId="16" borderId="14" xfId="0" applyFont="1" applyFill="1" applyBorder="1" applyAlignment="1">
      <alignment horizontal="center" vertical="center"/>
    </xf>
    <xf numFmtId="0" fontId="6" fillId="16" borderId="15" xfId="0" applyFont="1" applyFill="1" applyBorder="1" applyAlignment="1">
      <alignment horizontal="center" vertical="center"/>
    </xf>
    <xf numFmtId="0" fontId="6" fillId="16" borderId="16" xfId="0" applyFont="1" applyFill="1" applyBorder="1" applyAlignment="1">
      <alignment horizontal="center" vertical="center"/>
    </xf>
    <xf numFmtId="0" fontId="6" fillId="17" borderId="10" xfId="0" applyFont="1" applyFill="1" applyBorder="1" applyAlignment="1">
      <alignment horizontal="center" vertical="center"/>
    </xf>
    <xf numFmtId="0" fontId="6" fillId="17" borderId="15" xfId="0" applyFont="1" applyFill="1" applyBorder="1" applyAlignment="1">
      <alignment horizontal="center" vertical="center"/>
    </xf>
    <xf numFmtId="0" fontId="6" fillId="17" borderId="16" xfId="0" applyFont="1" applyFill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12" fillId="0" borderId="2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6" fillId="18" borderId="14" xfId="0" applyFont="1" applyFill="1" applyBorder="1" applyAlignment="1">
      <alignment horizontal="center" vertical="center"/>
    </xf>
    <xf numFmtId="0" fontId="6" fillId="18" borderId="15" xfId="0" applyFont="1" applyFill="1" applyBorder="1" applyAlignment="1">
      <alignment horizontal="center" vertical="center"/>
    </xf>
    <xf numFmtId="0" fontId="6" fillId="18" borderId="16" xfId="0" applyFont="1" applyFill="1" applyBorder="1" applyAlignment="1">
      <alignment horizontal="center" vertical="center"/>
    </xf>
    <xf numFmtId="1" fontId="12" fillId="9" borderId="9" xfId="0" applyNumberFormat="1" applyFont="1" applyFill="1" applyBorder="1" applyAlignment="1">
      <alignment horizontal="center" vertical="center"/>
    </xf>
    <xf numFmtId="1" fontId="12" fillId="9" borderId="36" xfId="0" applyNumberFormat="1" applyFont="1" applyFill="1" applyBorder="1" applyAlignment="1">
      <alignment horizontal="center" vertical="center"/>
    </xf>
    <xf numFmtId="0" fontId="44" fillId="19" borderId="0" xfId="0" applyFont="1" applyFill="1" applyAlignment="1">
      <alignment horizontal="center"/>
    </xf>
    <xf numFmtId="0" fontId="6" fillId="21" borderId="0" xfId="0" applyFont="1" applyFill="1" applyAlignment="1">
      <alignment horizontal="center"/>
    </xf>
    <xf numFmtId="0" fontId="7" fillId="20" borderId="0" xfId="0" applyFont="1" applyFill="1" applyAlignment="1">
      <alignment horizontal="right"/>
    </xf>
    <xf numFmtId="1" fontId="12" fillId="9" borderId="0" xfId="0" applyNumberFormat="1" applyFont="1" applyFill="1" applyAlignment="1">
      <alignment horizontal="center"/>
    </xf>
    <xf numFmtId="0" fontId="11" fillId="7" borderId="54" xfId="0" applyFont="1" applyFill="1" applyBorder="1" applyAlignment="1">
      <alignment horizontal="center" vertical="center" wrapText="1"/>
    </xf>
    <xf numFmtId="0" fontId="11" fillId="7" borderId="55" xfId="0" applyFont="1" applyFill="1" applyBorder="1" applyAlignment="1">
      <alignment horizontal="center" vertical="center" wrapText="1"/>
    </xf>
    <xf numFmtId="0" fontId="11" fillId="6" borderId="23" xfId="0" applyFont="1" applyFill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center" vertical="center" wrapText="1"/>
    </xf>
    <xf numFmtId="0" fontId="11" fillId="6" borderId="30" xfId="0" applyFont="1" applyFill="1" applyBorder="1" applyAlignment="1">
      <alignment horizontal="center" vertical="center" wrapText="1"/>
    </xf>
    <xf numFmtId="0" fontId="11" fillId="6" borderId="13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11" fillId="6" borderId="37" xfId="0" applyFont="1" applyFill="1" applyBorder="1" applyAlignment="1">
      <alignment horizontal="center" vertical="center" wrapText="1"/>
    </xf>
    <xf numFmtId="0" fontId="11" fillId="6" borderId="38" xfId="0" applyFont="1" applyFill="1" applyBorder="1" applyAlignment="1">
      <alignment horizontal="center" vertical="center" wrapText="1"/>
    </xf>
    <xf numFmtId="0" fontId="11" fillId="6" borderId="22" xfId="0" applyFont="1" applyFill="1" applyBorder="1" applyAlignment="1">
      <alignment horizontal="center" vertical="center" wrapText="1"/>
    </xf>
    <xf numFmtId="0" fontId="11" fillId="7" borderId="23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11" fillId="7" borderId="20" xfId="0" applyFont="1" applyFill="1" applyBorder="1" applyAlignment="1">
      <alignment horizontal="center" vertical="center" wrapText="1"/>
    </xf>
    <xf numFmtId="0" fontId="11" fillId="7" borderId="22" xfId="0" applyFont="1" applyFill="1" applyBorder="1" applyAlignment="1">
      <alignment horizontal="center" vertical="center" wrapText="1"/>
    </xf>
    <xf numFmtId="0" fontId="11" fillId="7" borderId="12" xfId="0" applyFon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wrapText="1"/>
    </xf>
    <xf numFmtId="0" fontId="0" fillId="2" borderId="36" xfId="0" applyFill="1" applyBorder="1" applyAlignment="1">
      <alignment horizontal="center" wrapText="1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9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29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25" fillId="0" borderId="1" xfId="0" applyFont="1" applyBorder="1" applyAlignment="1">
      <alignment horizontal="left" vertical="top" wrapText="1"/>
    </xf>
  </cellXfs>
  <cellStyles count="6">
    <cellStyle name="Comma" xfId="1" builtinId="3"/>
    <cellStyle name="Hyperlink" xfId="2" builtinId="8"/>
    <cellStyle name="Normal" xfId="0" builtinId="0"/>
    <cellStyle name="Normal 2" xfId="3"/>
    <cellStyle name="Normal_Detalhamento das Estimativas_1" xfId="4"/>
    <cellStyle name="Percent" xfId="5" builtinId="5"/>
  </cellStyles>
  <dxfs count="19"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ont>
        <strike val="0"/>
        <condense val="0"/>
        <extend val="0"/>
      </font>
      <fill>
        <patternFill>
          <bgColor indexed="5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Up">
          <bgColor theme="1" tint="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1</xdr:row>
      <xdr:rowOff>47625</xdr:rowOff>
    </xdr:from>
    <xdr:to>
      <xdr:col>4</xdr:col>
      <xdr:colOff>457201</xdr:colOff>
      <xdr:row>1</xdr:row>
      <xdr:rowOff>715372</xdr:rowOff>
    </xdr:to>
    <xdr:pic>
      <xdr:nvPicPr>
        <xdr:cNvPr id="16613" name="Picture 1">
          <a:extLst>
            <a:ext uri="{FF2B5EF4-FFF2-40B4-BE49-F238E27FC236}">
              <a16:creationId xmlns:a16="http://schemas.microsoft.com/office/drawing/2014/main" id="{00000000-0008-0000-0000-0000E5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1" y="219075"/>
          <a:ext cx="1962150" cy="6677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</xdr:row>
      <xdr:rowOff>38100</xdr:rowOff>
    </xdr:from>
    <xdr:to>
      <xdr:col>2</xdr:col>
      <xdr:colOff>647700</xdr:colOff>
      <xdr:row>2</xdr:row>
      <xdr:rowOff>209550</xdr:rowOff>
    </xdr:to>
    <xdr:pic>
      <xdr:nvPicPr>
        <xdr:cNvPr id="30809" name="Picture 2">
          <a:extLst>
            <a:ext uri="{FF2B5EF4-FFF2-40B4-BE49-F238E27FC236}">
              <a16:creationId xmlns:a16="http://schemas.microsoft.com/office/drawing/2014/main" id="{00000000-0008-0000-0200-0000597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209550"/>
          <a:ext cx="14001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0</xdr:row>
      <xdr:rowOff>0</xdr:rowOff>
    </xdr:from>
    <xdr:to>
      <xdr:col>2</xdr:col>
      <xdr:colOff>704850</xdr:colOff>
      <xdr:row>0</xdr:row>
      <xdr:rowOff>390525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0"/>
          <a:ext cx="14001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0</xdr:rowOff>
    </xdr:from>
    <xdr:to>
      <xdr:col>2</xdr:col>
      <xdr:colOff>1076325</xdr:colOff>
      <xdr:row>1</xdr:row>
      <xdr:rowOff>0</xdr:rowOff>
    </xdr:to>
    <xdr:pic>
      <xdr:nvPicPr>
        <xdr:cNvPr id="32872" name="Picture 1">
          <a:extLst>
            <a:ext uri="{FF2B5EF4-FFF2-40B4-BE49-F238E27FC236}">
              <a16:creationId xmlns:a16="http://schemas.microsoft.com/office/drawing/2014/main" id="{00000000-0008-0000-0400-000068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80975"/>
          <a:ext cx="1762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123825</xdr:colOff>
      <xdr:row>1</xdr:row>
      <xdr:rowOff>38100</xdr:rowOff>
    </xdr:from>
    <xdr:to>
      <xdr:col>2</xdr:col>
      <xdr:colOff>762000</xdr:colOff>
      <xdr:row>2</xdr:row>
      <xdr:rowOff>142875</xdr:rowOff>
    </xdr:to>
    <xdr:pic>
      <xdr:nvPicPr>
        <xdr:cNvPr id="32873" name="Picture 2">
          <a:extLst>
            <a:ext uri="{FF2B5EF4-FFF2-40B4-BE49-F238E27FC236}">
              <a16:creationId xmlns:a16="http://schemas.microsoft.com/office/drawing/2014/main" id="{00000000-0008-0000-0400-000069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19075"/>
          <a:ext cx="1400175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samr.accenture.com/Documents%20and%20Settings/elias.seade/My%20Documents/TRANSI&#199;&#195;O/1-%20Embratel/Apontamento%20de%20Horas%20Embrate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as e Procedimentos"/>
      <sheetName val="Apontamento"/>
      <sheetName val="Observações"/>
      <sheetName val="Atividades"/>
      <sheetName val="Categoria"/>
      <sheetName val="Consolidação"/>
    </sheetNames>
    <sheetDataSet>
      <sheetData sheetId="0"/>
      <sheetData sheetId="1">
        <row r="10">
          <cell r="AN10">
            <v>1</v>
          </cell>
        </row>
        <row r="11">
          <cell r="AN11">
            <v>2</v>
          </cell>
        </row>
        <row r="12">
          <cell r="AN12">
            <v>3</v>
          </cell>
        </row>
        <row r="13">
          <cell r="AN13">
            <v>4</v>
          </cell>
        </row>
        <row r="14">
          <cell r="AN14">
            <v>5</v>
          </cell>
        </row>
        <row r="15">
          <cell r="AN15">
            <v>6</v>
          </cell>
        </row>
        <row r="16">
          <cell r="AN16">
            <v>7</v>
          </cell>
        </row>
        <row r="17">
          <cell r="AN17">
            <v>8</v>
          </cell>
        </row>
        <row r="18">
          <cell r="AN18">
            <v>9</v>
          </cell>
        </row>
        <row r="19">
          <cell r="AN19">
            <v>10</v>
          </cell>
        </row>
        <row r="20">
          <cell r="AN20">
            <v>11</v>
          </cell>
        </row>
        <row r="21">
          <cell r="AN21">
            <v>12</v>
          </cell>
        </row>
        <row r="22">
          <cell r="AN22">
            <v>13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https://ts1amr.accenture.com/Documents%20and%20Settings/kiosk.suprisul/Local%20Settings/Temporary%20Internet%20Files/Content.IE5/O1UJOX2Z/Mapa%20de%20Estimativas%20da%20Embratel%20v10%5b1%5d.xls" TargetMode="Externa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B1:M64"/>
  <sheetViews>
    <sheetView showGridLines="0" workbookViewId="0">
      <selection activeCell="P10" sqref="P10"/>
    </sheetView>
  </sheetViews>
  <sheetFormatPr defaultRowHeight="12.75" x14ac:dyDescent="0.2"/>
  <cols>
    <col min="1" max="1" width="2.5703125" customWidth="1"/>
    <col min="2" max="2" width="2.28515625" customWidth="1"/>
    <col min="3" max="3" width="3.42578125" customWidth="1"/>
    <col min="4" max="4" width="17.42578125" customWidth="1"/>
    <col min="5" max="5" width="13" customWidth="1"/>
    <col min="6" max="6" width="13.140625" customWidth="1"/>
    <col min="7" max="7" width="10" customWidth="1"/>
    <col min="8" max="8" width="9.5703125" customWidth="1"/>
    <col min="10" max="10" width="10" customWidth="1"/>
    <col min="12" max="12" width="24.28515625" customWidth="1"/>
    <col min="13" max="13" width="3.140625" customWidth="1"/>
  </cols>
  <sheetData>
    <row r="1" spans="2:13" ht="13.5" thickBot="1" x14ac:dyDescent="0.25"/>
    <row r="2" spans="2:13" ht="57" customHeight="1" thickBot="1" x14ac:dyDescent="0.25">
      <c r="B2" s="142"/>
      <c r="C2" s="143"/>
      <c r="D2" s="255" t="s">
        <v>194</v>
      </c>
      <c r="E2" s="255"/>
      <c r="F2" s="255"/>
      <c r="G2" s="255"/>
      <c r="H2" s="255"/>
      <c r="I2" s="255"/>
      <c r="J2" s="255"/>
      <c r="K2" s="255"/>
      <c r="L2" s="255"/>
      <c r="M2" s="256"/>
    </row>
    <row r="3" spans="2:13" ht="13.5" thickBot="1" x14ac:dyDescent="0.25">
      <c r="B3" s="104"/>
      <c r="C3" s="105"/>
      <c r="D3" s="106"/>
      <c r="E3" s="106"/>
      <c r="F3" s="106"/>
      <c r="G3" s="106"/>
      <c r="H3" s="107"/>
      <c r="I3" s="107"/>
      <c r="J3" s="108"/>
      <c r="K3" s="106"/>
      <c r="L3" s="106"/>
      <c r="M3" s="106"/>
    </row>
    <row r="4" spans="2:13" x14ac:dyDescent="0.2">
      <c r="B4" s="264" t="s">
        <v>120</v>
      </c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6"/>
    </row>
    <row r="5" spans="2:13" ht="12.75" customHeight="1" x14ac:dyDescent="0.25">
      <c r="B5" s="246" t="s">
        <v>126</v>
      </c>
      <c r="C5" s="247"/>
      <c r="D5" s="247"/>
      <c r="E5" s="235"/>
      <c r="F5" s="235"/>
      <c r="G5" s="144" t="s">
        <v>130</v>
      </c>
      <c r="H5" s="257"/>
      <c r="I5" s="258"/>
      <c r="J5" s="258"/>
      <c r="K5" s="144" t="s">
        <v>131</v>
      </c>
      <c r="L5" s="259"/>
      <c r="M5" s="260"/>
    </row>
    <row r="6" spans="2:13" x14ac:dyDescent="0.2">
      <c r="B6" s="246" t="s">
        <v>127</v>
      </c>
      <c r="C6" s="247"/>
      <c r="D6" s="247"/>
      <c r="E6" s="275"/>
      <c r="F6" s="275"/>
      <c r="G6" s="144" t="s">
        <v>130</v>
      </c>
      <c r="H6" s="285"/>
      <c r="I6" s="285"/>
      <c r="J6" s="285"/>
      <c r="K6" s="144" t="s">
        <v>131</v>
      </c>
      <c r="L6" s="259"/>
      <c r="M6" s="260"/>
    </row>
    <row r="7" spans="2:13" x14ac:dyDescent="0.2">
      <c r="B7" s="246" t="s">
        <v>128</v>
      </c>
      <c r="C7" s="247"/>
      <c r="D7" s="247"/>
      <c r="E7" s="238"/>
      <c r="F7" s="238"/>
      <c r="G7" s="144" t="s">
        <v>130</v>
      </c>
      <c r="H7" s="237"/>
      <c r="I7" s="238"/>
      <c r="J7" s="238"/>
      <c r="K7" s="144" t="s">
        <v>131</v>
      </c>
      <c r="L7" s="259"/>
      <c r="M7" s="260"/>
    </row>
    <row r="8" spans="2:13" x14ac:dyDescent="0.2">
      <c r="B8" s="246" t="s">
        <v>129</v>
      </c>
      <c r="C8" s="247"/>
      <c r="D8" s="247"/>
      <c r="E8" s="238"/>
      <c r="F8" s="238"/>
      <c r="G8" s="144" t="s">
        <v>130</v>
      </c>
      <c r="H8" s="237"/>
      <c r="I8" s="238"/>
      <c r="J8" s="238"/>
      <c r="K8" s="144" t="s">
        <v>131</v>
      </c>
      <c r="L8" s="259"/>
      <c r="M8" s="260"/>
    </row>
    <row r="9" spans="2:13" ht="12.75" customHeight="1" x14ac:dyDescent="0.2">
      <c r="B9" s="246" t="s">
        <v>162</v>
      </c>
      <c r="C9" s="247"/>
      <c r="D9" s="247"/>
      <c r="E9" s="270"/>
      <c r="F9" s="271"/>
      <c r="G9" s="201" t="s">
        <v>163</v>
      </c>
      <c r="H9" s="252">
        <v>1</v>
      </c>
      <c r="I9" s="253"/>
      <c r="J9" s="253"/>
      <c r="K9" s="253"/>
      <c r="L9" s="253"/>
      <c r="M9" s="254"/>
    </row>
    <row r="10" spans="2:13" x14ac:dyDescent="0.2">
      <c r="B10" s="246" t="s">
        <v>132</v>
      </c>
      <c r="C10" s="247"/>
      <c r="D10" s="247"/>
      <c r="E10" s="286"/>
      <c r="F10" s="286"/>
      <c r="G10" s="286"/>
      <c r="H10" s="286"/>
      <c r="I10" s="286"/>
      <c r="J10" s="286"/>
      <c r="K10" s="286"/>
      <c r="L10" s="286"/>
      <c r="M10" s="287"/>
    </row>
    <row r="11" spans="2:13" ht="13.5" thickBot="1" x14ac:dyDescent="0.25">
      <c r="B11" s="289" t="s">
        <v>133</v>
      </c>
      <c r="C11" s="290"/>
      <c r="D11" s="290"/>
      <c r="E11" s="291"/>
      <c r="F11" s="292"/>
      <c r="G11" s="292"/>
      <c r="H11" s="292"/>
      <c r="I11" s="292"/>
      <c r="J11" s="292"/>
      <c r="K11" s="292"/>
      <c r="L11" s="292"/>
      <c r="M11" s="293"/>
    </row>
    <row r="12" spans="2:13" x14ac:dyDescent="0.2"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  <c r="M12" s="199"/>
    </row>
    <row r="13" spans="2:13" x14ac:dyDescent="0.2">
      <c r="B13" s="294" t="s">
        <v>176</v>
      </c>
      <c r="C13" s="295"/>
      <c r="D13" s="295"/>
      <c r="E13" s="295"/>
      <c r="F13" s="295"/>
      <c r="G13" s="296"/>
      <c r="H13" s="294" t="s">
        <v>181</v>
      </c>
      <c r="I13" s="295"/>
      <c r="J13" s="295"/>
      <c r="K13" s="295"/>
      <c r="L13" s="295"/>
      <c r="M13" s="296"/>
    </row>
    <row r="14" spans="2:13" x14ac:dyDescent="0.2">
      <c r="B14" s="288" t="s">
        <v>177</v>
      </c>
      <c r="C14" s="288"/>
      <c r="D14" s="288"/>
      <c r="E14" s="288" t="s">
        <v>178</v>
      </c>
      <c r="F14" s="288"/>
      <c r="G14" s="288"/>
      <c r="H14" s="288" t="s">
        <v>179</v>
      </c>
      <c r="I14" s="288"/>
      <c r="J14" s="288"/>
      <c r="K14" s="288" t="s">
        <v>180</v>
      </c>
      <c r="L14" s="288"/>
      <c r="M14" s="288"/>
    </row>
    <row r="15" spans="2:13" x14ac:dyDescent="0.2">
      <c r="B15" s="252"/>
      <c r="C15" s="253"/>
      <c r="D15" s="271"/>
      <c r="E15" s="252"/>
      <c r="F15" s="253"/>
      <c r="G15" s="271"/>
      <c r="H15" s="252"/>
      <c r="I15" s="253"/>
      <c r="J15" s="271"/>
      <c r="K15" s="252"/>
      <c r="L15" s="253"/>
      <c r="M15" s="271"/>
    </row>
    <row r="16" spans="2:13" ht="13.5" thickBot="1" x14ac:dyDescent="0.25">
      <c r="B16" s="106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6"/>
    </row>
    <row r="17" spans="2:13" ht="13.5" thickBot="1" x14ac:dyDescent="0.25">
      <c r="B17" s="272" t="s">
        <v>134</v>
      </c>
      <c r="C17" s="273"/>
      <c r="D17" s="273"/>
      <c r="E17" s="273"/>
      <c r="F17" s="273"/>
      <c r="G17" s="273"/>
      <c r="H17" s="273"/>
      <c r="I17" s="273"/>
      <c r="J17" s="273"/>
      <c r="K17" s="273"/>
      <c r="L17" s="273"/>
      <c r="M17" s="274"/>
    </row>
    <row r="18" spans="2:13" ht="13.5" thickBot="1" x14ac:dyDescent="0.25">
      <c r="B18" s="110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1"/>
    </row>
    <row r="19" spans="2:13" ht="13.5" thickBot="1" x14ac:dyDescent="0.25">
      <c r="B19" s="110"/>
      <c r="C19" s="242" t="s">
        <v>121</v>
      </c>
      <c r="D19" s="243"/>
      <c r="E19" s="243"/>
      <c r="F19" s="243"/>
      <c r="G19" s="243"/>
      <c r="H19" s="243"/>
      <c r="I19" s="243"/>
      <c r="J19" s="243"/>
      <c r="K19" s="243"/>
      <c r="L19" s="244"/>
      <c r="M19" s="111"/>
    </row>
    <row r="20" spans="2:13" ht="13.5" thickBot="1" x14ac:dyDescent="0.25">
      <c r="B20" s="110"/>
      <c r="C20" s="115" t="s">
        <v>122</v>
      </c>
      <c r="D20" s="116" t="s">
        <v>20</v>
      </c>
      <c r="E20" s="116" t="s">
        <v>135</v>
      </c>
      <c r="F20" s="245" t="s">
        <v>136</v>
      </c>
      <c r="G20" s="245"/>
      <c r="H20" s="245"/>
      <c r="I20" s="267" t="s">
        <v>21</v>
      </c>
      <c r="J20" s="268"/>
      <c r="K20" s="268"/>
      <c r="L20" s="269"/>
      <c r="M20" s="111"/>
    </row>
    <row r="21" spans="2:13" x14ac:dyDescent="0.2">
      <c r="B21" s="117"/>
      <c r="C21" s="118">
        <v>1</v>
      </c>
      <c r="D21" s="119"/>
      <c r="E21" s="120"/>
      <c r="F21" s="236"/>
      <c r="G21" s="236"/>
      <c r="H21" s="236"/>
      <c r="I21" s="261"/>
      <c r="J21" s="262"/>
      <c r="K21" s="262"/>
      <c r="L21" s="263"/>
      <c r="M21" s="121"/>
    </row>
    <row r="22" spans="2:13" x14ac:dyDescent="0.2">
      <c r="B22" s="117"/>
      <c r="C22" s="122">
        <v>2</v>
      </c>
      <c r="D22" s="123"/>
      <c r="E22" s="120"/>
      <c r="F22" s="236"/>
      <c r="G22" s="236"/>
      <c r="H22" s="236"/>
      <c r="I22" s="249"/>
      <c r="J22" s="250"/>
      <c r="K22" s="250"/>
      <c r="L22" s="251"/>
      <c r="M22" s="121"/>
    </row>
    <row r="23" spans="2:13" x14ac:dyDescent="0.2">
      <c r="B23" s="117"/>
      <c r="C23" s="122">
        <v>3</v>
      </c>
      <c r="D23" s="123"/>
      <c r="E23" s="124"/>
      <c r="F23" s="236"/>
      <c r="G23" s="236"/>
      <c r="H23" s="236"/>
      <c r="I23" s="249"/>
      <c r="J23" s="250"/>
      <c r="K23" s="250"/>
      <c r="L23" s="251"/>
      <c r="M23" s="121"/>
    </row>
    <row r="24" spans="2:13" x14ac:dyDescent="0.2">
      <c r="B24" s="117"/>
      <c r="C24" s="122">
        <v>4</v>
      </c>
      <c r="D24" s="123"/>
      <c r="E24" s="124"/>
      <c r="F24" s="236"/>
      <c r="G24" s="236"/>
      <c r="H24" s="236"/>
      <c r="I24" s="249"/>
      <c r="J24" s="250"/>
      <c r="K24" s="250"/>
      <c r="L24" s="251"/>
      <c r="M24" s="121"/>
    </row>
    <row r="25" spans="2:13" ht="13.5" thickBot="1" x14ac:dyDescent="0.25">
      <c r="B25" s="117"/>
      <c r="C25" s="125">
        <v>5</v>
      </c>
      <c r="D25" s="126"/>
      <c r="E25" s="127"/>
      <c r="F25" s="248"/>
      <c r="G25" s="248"/>
      <c r="H25" s="248"/>
      <c r="I25" s="239"/>
      <c r="J25" s="240"/>
      <c r="K25" s="240"/>
      <c r="L25" s="241"/>
      <c r="M25" s="121"/>
    </row>
    <row r="26" spans="2:13" ht="13.5" thickBot="1" x14ac:dyDescent="0.25">
      <c r="B26" s="110"/>
      <c r="C26" s="128"/>
      <c r="D26" s="129"/>
      <c r="E26" s="129"/>
      <c r="F26" s="130"/>
      <c r="G26" s="128"/>
      <c r="H26" s="129"/>
      <c r="I26" s="129"/>
      <c r="J26" s="130"/>
      <c r="K26" s="130"/>
      <c r="L26" s="130"/>
      <c r="M26" s="111"/>
    </row>
    <row r="27" spans="2:13" ht="13.5" thickBot="1" x14ac:dyDescent="0.25">
      <c r="B27" s="110"/>
      <c r="C27" s="242" t="s">
        <v>123</v>
      </c>
      <c r="D27" s="243"/>
      <c r="E27" s="243"/>
      <c r="F27" s="243"/>
      <c r="G27" s="243"/>
      <c r="H27" s="243"/>
      <c r="I27" s="243"/>
      <c r="J27" s="243"/>
      <c r="K27" s="243"/>
      <c r="L27" s="244"/>
      <c r="M27" s="111"/>
    </row>
    <row r="28" spans="2:13" ht="13.5" thickBot="1" x14ac:dyDescent="0.25">
      <c r="B28" s="110"/>
      <c r="C28" s="115" t="s">
        <v>122</v>
      </c>
      <c r="D28" s="116" t="s">
        <v>20</v>
      </c>
      <c r="E28" s="116" t="s">
        <v>135</v>
      </c>
      <c r="F28" s="245" t="s">
        <v>136</v>
      </c>
      <c r="G28" s="245"/>
      <c r="H28" s="245"/>
      <c r="I28" s="267" t="s">
        <v>21</v>
      </c>
      <c r="J28" s="268"/>
      <c r="K28" s="268"/>
      <c r="L28" s="269"/>
      <c r="M28" s="111"/>
    </row>
    <row r="29" spans="2:13" x14ac:dyDescent="0.2">
      <c r="B29" s="117"/>
      <c r="C29" s="118">
        <v>1</v>
      </c>
      <c r="D29" s="119"/>
      <c r="E29" s="120"/>
      <c r="F29" s="236"/>
      <c r="G29" s="236"/>
      <c r="H29" s="236"/>
      <c r="I29" s="261"/>
      <c r="J29" s="262"/>
      <c r="K29" s="262"/>
      <c r="L29" s="263"/>
      <c r="M29" s="121"/>
    </row>
    <row r="30" spans="2:13" x14ac:dyDescent="0.2">
      <c r="B30" s="117"/>
      <c r="C30" s="122">
        <v>2</v>
      </c>
      <c r="D30" s="123"/>
      <c r="E30" s="120"/>
      <c r="F30" s="236"/>
      <c r="G30" s="236"/>
      <c r="H30" s="236"/>
      <c r="I30" s="249"/>
      <c r="J30" s="250"/>
      <c r="K30" s="250"/>
      <c r="L30" s="251"/>
      <c r="M30" s="121"/>
    </row>
    <row r="31" spans="2:13" x14ac:dyDescent="0.2">
      <c r="B31" s="117"/>
      <c r="C31" s="122">
        <v>3</v>
      </c>
      <c r="D31" s="123"/>
      <c r="E31" s="124"/>
      <c r="F31" s="236"/>
      <c r="G31" s="236"/>
      <c r="H31" s="236"/>
      <c r="I31" s="249"/>
      <c r="J31" s="250"/>
      <c r="K31" s="250"/>
      <c r="L31" s="251"/>
      <c r="M31" s="121"/>
    </row>
    <row r="32" spans="2:13" x14ac:dyDescent="0.2">
      <c r="B32" s="117"/>
      <c r="C32" s="122">
        <v>4</v>
      </c>
      <c r="D32" s="123"/>
      <c r="E32" s="124"/>
      <c r="F32" s="236"/>
      <c r="G32" s="236"/>
      <c r="H32" s="236"/>
      <c r="I32" s="249"/>
      <c r="J32" s="250"/>
      <c r="K32" s="250"/>
      <c r="L32" s="251"/>
      <c r="M32" s="121"/>
    </row>
    <row r="33" spans="2:13" ht="13.5" thickBot="1" x14ac:dyDescent="0.25">
      <c r="B33" s="117"/>
      <c r="C33" s="125">
        <v>5</v>
      </c>
      <c r="D33" s="126"/>
      <c r="E33" s="127"/>
      <c r="F33" s="248"/>
      <c r="G33" s="248"/>
      <c r="H33" s="248"/>
      <c r="I33" s="239"/>
      <c r="J33" s="240"/>
      <c r="K33" s="240"/>
      <c r="L33" s="241"/>
      <c r="M33" s="121"/>
    </row>
    <row r="34" spans="2:13" ht="13.5" thickBot="1" x14ac:dyDescent="0.25">
      <c r="B34" s="112"/>
      <c r="C34" s="131"/>
      <c r="D34" s="132"/>
      <c r="E34" s="133"/>
      <c r="F34" s="134"/>
      <c r="G34" s="134"/>
      <c r="H34" s="134"/>
      <c r="I34" s="134"/>
      <c r="J34" s="134"/>
      <c r="K34" s="134"/>
      <c r="L34" s="134"/>
      <c r="M34" s="113"/>
    </row>
    <row r="35" spans="2:13" ht="13.5" thickBot="1" x14ac:dyDescent="0.25">
      <c r="B35" s="106"/>
      <c r="C35" s="104"/>
      <c r="D35" s="105"/>
      <c r="E35" s="106"/>
      <c r="F35" s="106"/>
      <c r="G35" s="106"/>
      <c r="H35" s="106"/>
      <c r="I35" s="106"/>
      <c r="J35" s="106"/>
      <c r="K35" s="106"/>
      <c r="L35" s="106"/>
      <c r="M35" s="106"/>
    </row>
    <row r="36" spans="2:13" ht="13.5" thickBot="1" x14ac:dyDescent="0.25">
      <c r="B36" s="272" t="s">
        <v>124</v>
      </c>
      <c r="C36" s="273"/>
      <c r="D36" s="273"/>
      <c r="E36" s="273"/>
      <c r="F36" s="273"/>
      <c r="G36" s="273"/>
      <c r="H36" s="273"/>
      <c r="I36" s="273"/>
      <c r="J36" s="273"/>
      <c r="K36" s="273"/>
      <c r="L36" s="273"/>
      <c r="M36" s="274"/>
    </row>
    <row r="37" spans="2:13" x14ac:dyDescent="0.2">
      <c r="B37" s="276"/>
      <c r="C37" s="277"/>
      <c r="D37" s="277"/>
      <c r="E37" s="277"/>
      <c r="F37" s="277"/>
      <c r="G37" s="277"/>
      <c r="H37" s="277"/>
      <c r="I37" s="277"/>
      <c r="J37" s="277"/>
      <c r="K37" s="277"/>
      <c r="L37" s="277"/>
      <c r="M37" s="278"/>
    </row>
    <row r="38" spans="2:13" x14ac:dyDescent="0.2">
      <c r="B38" s="279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1"/>
    </row>
    <row r="39" spans="2:13" x14ac:dyDescent="0.2">
      <c r="B39" s="279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1"/>
    </row>
    <row r="40" spans="2:13" x14ac:dyDescent="0.2">
      <c r="B40" s="279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1"/>
    </row>
    <row r="41" spans="2:13" x14ac:dyDescent="0.2">
      <c r="B41" s="279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1"/>
    </row>
    <row r="42" spans="2:13" x14ac:dyDescent="0.2">
      <c r="B42" s="279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1"/>
    </row>
    <row r="43" spans="2:13" x14ac:dyDescent="0.2">
      <c r="B43" s="279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1"/>
    </row>
    <row r="44" spans="2:13" x14ac:dyDescent="0.2">
      <c r="B44" s="279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1"/>
    </row>
    <row r="45" spans="2:13" x14ac:dyDescent="0.2">
      <c r="B45" s="279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1"/>
    </row>
    <row r="46" spans="2:13" x14ac:dyDescent="0.2">
      <c r="B46" s="279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1"/>
    </row>
    <row r="47" spans="2:13" x14ac:dyDescent="0.2">
      <c r="B47" s="279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1"/>
    </row>
    <row r="48" spans="2:13" x14ac:dyDescent="0.2">
      <c r="B48" s="279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1"/>
    </row>
    <row r="49" spans="2:13" x14ac:dyDescent="0.2">
      <c r="B49" s="279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1"/>
    </row>
    <row r="50" spans="2:13" x14ac:dyDescent="0.2">
      <c r="B50" s="279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1"/>
    </row>
    <row r="51" spans="2:13" x14ac:dyDescent="0.2">
      <c r="B51" s="279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1"/>
    </row>
    <row r="52" spans="2:13" x14ac:dyDescent="0.2">
      <c r="B52" s="279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1"/>
    </row>
    <row r="53" spans="2:13" x14ac:dyDescent="0.2">
      <c r="B53" s="279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1"/>
    </row>
    <row r="54" spans="2:13" x14ac:dyDescent="0.2">
      <c r="B54" s="279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1"/>
    </row>
    <row r="55" spans="2:13" x14ac:dyDescent="0.2">
      <c r="B55" s="279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1"/>
    </row>
    <row r="56" spans="2:13" x14ac:dyDescent="0.2">
      <c r="B56" s="279"/>
      <c r="C56" s="280"/>
      <c r="D56" s="280"/>
      <c r="E56" s="280"/>
      <c r="F56" s="280"/>
      <c r="G56" s="280"/>
      <c r="H56" s="280"/>
      <c r="I56" s="280"/>
      <c r="J56" s="280"/>
      <c r="K56" s="280"/>
      <c r="L56" s="280"/>
      <c r="M56" s="281"/>
    </row>
    <row r="57" spans="2:13" x14ac:dyDescent="0.2">
      <c r="B57" s="279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1"/>
    </row>
    <row r="58" spans="2:13" x14ac:dyDescent="0.2">
      <c r="B58" s="279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1"/>
    </row>
    <row r="59" spans="2:13" ht="13.5" thickBot="1" x14ac:dyDescent="0.25">
      <c r="B59" s="282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4"/>
    </row>
    <row r="60" spans="2:13" x14ac:dyDescent="0.2">
      <c r="B60" s="106"/>
      <c r="C60" s="135"/>
      <c r="D60" s="135"/>
      <c r="E60" s="106"/>
      <c r="F60" s="106"/>
      <c r="G60" s="106"/>
      <c r="H60" s="106"/>
      <c r="I60" s="106"/>
      <c r="J60" s="106"/>
      <c r="K60" s="106"/>
      <c r="L60" s="106"/>
      <c r="M60" s="106"/>
    </row>
    <row r="61" spans="2:13" x14ac:dyDescent="0.2">
      <c r="B61" s="136"/>
      <c r="C61" s="137"/>
      <c r="D61" s="137"/>
      <c r="E61" s="136"/>
      <c r="F61" s="136"/>
      <c r="G61" s="136"/>
      <c r="H61" s="136"/>
      <c r="I61" s="136"/>
      <c r="J61" s="136"/>
      <c r="K61" s="136"/>
      <c r="L61" s="136"/>
      <c r="M61" s="136"/>
    </row>
    <row r="62" spans="2:13" x14ac:dyDescent="0.2">
      <c r="B62" s="138"/>
      <c r="C62" s="138"/>
      <c r="D62" s="106"/>
      <c r="E62" s="106"/>
      <c r="F62" s="106"/>
      <c r="G62" s="106"/>
      <c r="H62" s="106"/>
      <c r="I62" s="106"/>
      <c r="J62" s="106"/>
      <c r="K62" s="106"/>
      <c r="L62" s="106"/>
      <c r="M62" s="106"/>
    </row>
    <row r="63" spans="2:13" x14ac:dyDescent="0.2">
      <c r="B63" s="135"/>
      <c r="C63" s="139"/>
      <c r="D63" s="139"/>
      <c r="E63" s="106"/>
      <c r="F63" s="106"/>
      <c r="G63" s="106"/>
      <c r="H63" s="106"/>
      <c r="I63" s="106"/>
      <c r="J63" s="106"/>
      <c r="K63" s="106"/>
      <c r="L63" s="106"/>
      <c r="M63" s="106"/>
    </row>
    <row r="64" spans="2:13" x14ac:dyDescent="0.2">
      <c r="B64" s="140"/>
      <c r="C64" s="140"/>
      <c r="D64" s="140"/>
      <c r="E64" s="140"/>
      <c r="F64" s="140"/>
      <c r="G64" s="140"/>
      <c r="H64" s="136"/>
      <c r="I64" s="136"/>
      <c r="J64" s="136"/>
      <c r="K64" s="136"/>
      <c r="L64" s="136"/>
      <c r="M64" s="136"/>
    </row>
  </sheetData>
  <mergeCells count="64">
    <mergeCell ref="B14:D14"/>
    <mergeCell ref="B9:D9"/>
    <mergeCell ref="K14:M14"/>
    <mergeCell ref="B15:D15"/>
    <mergeCell ref="E15:G15"/>
    <mergeCell ref="H15:J15"/>
    <mergeCell ref="K15:M15"/>
    <mergeCell ref="B11:D11"/>
    <mergeCell ref="E11:M11"/>
    <mergeCell ref="E14:G14"/>
    <mergeCell ref="H14:J14"/>
    <mergeCell ref="B13:G13"/>
    <mergeCell ref="H13:M13"/>
    <mergeCell ref="L6:M6"/>
    <mergeCell ref="L8:M8"/>
    <mergeCell ref="H6:J6"/>
    <mergeCell ref="B10:D10"/>
    <mergeCell ref="E10:M10"/>
    <mergeCell ref="B7:D7"/>
    <mergeCell ref="B37:M59"/>
    <mergeCell ref="I24:L24"/>
    <mergeCell ref="I25:L25"/>
    <mergeCell ref="F31:H31"/>
    <mergeCell ref="F32:H32"/>
    <mergeCell ref="I30:L30"/>
    <mergeCell ref="F33:H33"/>
    <mergeCell ref="I31:L31"/>
    <mergeCell ref="I32:L32"/>
    <mergeCell ref="B36:M36"/>
    <mergeCell ref="F30:H30"/>
    <mergeCell ref="I28:L28"/>
    <mergeCell ref="I29:L29"/>
    <mergeCell ref="D2:M2"/>
    <mergeCell ref="H5:J5"/>
    <mergeCell ref="L5:M5"/>
    <mergeCell ref="I21:L21"/>
    <mergeCell ref="I22:L22"/>
    <mergeCell ref="B8:D8"/>
    <mergeCell ref="F20:H20"/>
    <mergeCell ref="B4:M4"/>
    <mergeCell ref="F21:H21"/>
    <mergeCell ref="F22:H22"/>
    <mergeCell ref="I20:L20"/>
    <mergeCell ref="L7:M7"/>
    <mergeCell ref="E9:F9"/>
    <mergeCell ref="B17:M17"/>
    <mergeCell ref="E6:F6"/>
    <mergeCell ref="E7:F7"/>
    <mergeCell ref="E5:F5"/>
    <mergeCell ref="F23:H23"/>
    <mergeCell ref="H8:J8"/>
    <mergeCell ref="I33:L33"/>
    <mergeCell ref="C27:L27"/>
    <mergeCell ref="F28:H28"/>
    <mergeCell ref="F29:H29"/>
    <mergeCell ref="B5:D5"/>
    <mergeCell ref="B6:D6"/>
    <mergeCell ref="F24:H24"/>
    <mergeCell ref="F25:H25"/>
    <mergeCell ref="C19:L19"/>
    <mergeCell ref="I23:L23"/>
    <mergeCell ref="E8:F8"/>
    <mergeCell ref="H7:J7"/>
    <mergeCell ref="H9:M9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2" tint="-0.499984740745262"/>
  </sheetPr>
  <dimension ref="B1:AC92"/>
  <sheetViews>
    <sheetView showGridLines="0" zoomScaleNormal="100" workbookViewId="0">
      <pane xSplit="13" ySplit="4" topLeftCell="N5" activePane="bottomRight" state="frozen"/>
      <selection pane="topRight" activeCell="O1" sqref="O1"/>
      <selection pane="bottomLeft" activeCell="A5" sqref="A5"/>
      <selection pane="bottomRight" activeCell="I14" sqref="I14"/>
    </sheetView>
  </sheetViews>
  <sheetFormatPr defaultColWidth="9.140625" defaultRowHeight="12.75" zeroHeight="1" x14ac:dyDescent="0.2"/>
  <cols>
    <col min="1" max="1" width="1.85546875" style="8" customWidth="1"/>
    <col min="2" max="2" width="17" style="8" customWidth="1"/>
    <col min="3" max="3" width="8.7109375" style="7" customWidth="1"/>
    <col min="4" max="4" width="47.5703125" style="8" customWidth="1"/>
    <col min="5" max="5" width="10.140625" style="8" hidden="1" customWidth="1"/>
    <col min="6" max="6" width="37.42578125" style="7" customWidth="1"/>
    <col min="7" max="7" width="8.7109375" style="7" customWidth="1"/>
    <col min="8" max="8" width="22" style="7" customWidth="1"/>
    <col min="9" max="9" width="12.85546875" style="7" customWidth="1"/>
    <col min="10" max="10" width="7.85546875" style="7" bestFit="1" customWidth="1"/>
    <col min="11" max="11" width="31.140625" style="8" hidden="1" customWidth="1"/>
    <col min="12" max="12" width="8.5703125" style="8" bestFit="1" customWidth="1"/>
    <col min="13" max="13" width="5.28515625" style="8" bestFit="1" customWidth="1"/>
    <col min="14" max="14" width="9.5703125" style="8" hidden="1"/>
    <col min="30" max="16384" width="9.140625" style="8"/>
  </cols>
  <sheetData>
    <row r="1" spans="2:15" ht="13.5" thickBot="1" x14ac:dyDescent="0.25"/>
    <row r="2" spans="2:15" ht="12.75" customHeight="1" x14ac:dyDescent="0.2">
      <c r="B2" s="300" t="s">
        <v>17</v>
      </c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>
        <f>L21</f>
        <v>0</v>
      </c>
      <c r="N2" s="28"/>
    </row>
    <row r="3" spans="2:15" ht="30" customHeight="1" thickBot="1" x14ac:dyDescent="0.25">
      <c r="B3" s="302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29"/>
    </row>
    <row r="4" spans="2:15" s="10" customFormat="1" ht="27.75" thickBot="1" x14ac:dyDescent="0.3">
      <c r="B4" s="167" t="s">
        <v>20</v>
      </c>
      <c r="C4" s="166" t="s">
        <v>139</v>
      </c>
      <c r="D4" s="146" t="s">
        <v>21</v>
      </c>
      <c r="E4" s="146" t="s">
        <v>19</v>
      </c>
      <c r="F4" s="145" t="s">
        <v>140</v>
      </c>
      <c r="G4" s="145" t="s">
        <v>145</v>
      </c>
      <c r="H4" s="145" t="s">
        <v>141</v>
      </c>
      <c r="I4" s="145" t="s">
        <v>142</v>
      </c>
      <c r="J4" s="145" t="s">
        <v>18</v>
      </c>
      <c r="K4" s="145"/>
      <c r="L4" s="145" t="s">
        <v>46</v>
      </c>
      <c r="M4" s="145" t="s">
        <v>166</v>
      </c>
      <c r="N4" s="21"/>
    </row>
    <row r="5" spans="2:15" x14ac:dyDescent="0.2">
      <c r="B5" s="165"/>
      <c r="C5" s="35"/>
      <c r="D5" s="36"/>
      <c r="E5" s="36"/>
      <c r="F5" s="34"/>
      <c r="G5" s="34"/>
      <c r="H5" s="34"/>
      <c r="I5" s="34"/>
      <c r="J5" s="34">
        <f>IFERROR(VLOOKUP(B5&amp;F5&amp;G5&amp;H5&amp;I5,Fatores!A:G,7,0)*C5,"0")</f>
        <v>0</v>
      </c>
      <c r="K5" s="37" t="str">
        <f>F5&amp;G5&amp;H5&amp;I5</f>
        <v/>
      </c>
      <c r="L5" s="34">
        <f>IFERROR(J5/4,"0")</f>
        <v>0</v>
      </c>
      <c r="M5" s="27" t="str">
        <f>IF(B5="ITS",J5,"")</f>
        <v/>
      </c>
      <c r="N5" s="21"/>
    </row>
    <row r="6" spans="2:15" x14ac:dyDescent="0.2">
      <c r="B6" s="165"/>
      <c r="C6" s="35"/>
      <c r="D6" s="36"/>
      <c r="E6" s="36"/>
      <c r="F6" s="34"/>
      <c r="G6" s="34"/>
      <c r="H6" s="34"/>
      <c r="I6" s="34"/>
      <c r="J6" s="34">
        <f>IFERROR(VLOOKUP(B6&amp;F6&amp;G6&amp;H6&amp;I6,Fatores!A:G,7,0)*C6,"0")</f>
        <v>0</v>
      </c>
      <c r="K6" s="37" t="str">
        <f>F6&amp;G6&amp;H6&amp;I6</f>
        <v/>
      </c>
      <c r="L6" s="34">
        <f t="shared" ref="L6:L20" si="0">IFERROR(J6/4,"0")</f>
        <v>0</v>
      </c>
      <c r="M6" s="27" t="str">
        <f t="shared" ref="M6:M20" si="1">IF(B6="ITS",J6,"")</f>
        <v/>
      </c>
      <c r="N6" s="21"/>
      <c r="O6" s="229"/>
    </row>
    <row r="7" spans="2:15" x14ac:dyDescent="0.2">
      <c r="B7" s="165"/>
      <c r="C7" s="35"/>
      <c r="D7" s="36"/>
      <c r="E7" s="36"/>
      <c r="F7" s="34"/>
      <c r="G7" s="34"/>
      <c r="H7" s="34"/>
      <c r="I7" s="34"/>
      <c r="J7" s="34">
        <f>IFERROR(VLOOKUP(B7&amp;F7&amp;G7&amp;H7&amp;I7,Fatores!A:G,7,0)*C7,"0")</f>
        <v>0</v>
      </c>
      <c r="K7" s="37" t="str">
        <f t="shared" ref="K7:K20" si="2">F7&amp;G7&amp;H7&amp;I7</f>
        <v/>
      </c>
      <c r="L7" s="34">
        <f t="shared" si="0"/>
        <v>0</v>
      </c>
      <c r="M7" s="27" t="str">
        <f t="shared" si="1"/>
        <v/>
      </c>
      <c r="N7" s="21"/>
    </row>
    <row r="8" spans="2:15" x14ac:dyDescent="0.2">
      <c r="B8" s="165"/>
      <c r="C8" s="35"/>
      <c r="D8" s="36"/>
      <c r="E8" s="36"/>
      <c r="F8" s="34"/>
      <c r="G8" s="34"/>
      <c r="H8" s="34"/>
      <c r="I8" s="34"/>
      <c r="J8" s="34">
        <f>IFERROR(VLOOKUP(B8&amp;F8&amp;G8&amp;H8&amp;I8,Fatores!A:G,7,0)*C8,"0")</f>
        <v>0</v>
      </c>
      <c r="K8" s="37" t="str">
        <f t="shared" si="2"/>
        <v/>
      </c>
      <c r="L8" s="34">
        <f t="shared" si="0"/>
        <v>0</v>
      </c>
      <c r="M8" s="27" t="str">
        <f t="shared" si="1"/>
        <v/>
      </c>
      <c r="N8" s="21"/>
    </row>
    <row r="9" spans="2:15" x14ac:dyDescent="0.2">
      <c r="B9" s="165"/>
      <c r="C9" s="35"/>
      <c r="D9" s="36"/>
      <c r="E9" s="36"/>
      <c r="F9" s="34"/>
      <c r="G9" s="34"/>
      <c r="H9" s="34"/>
      <c r="I9" s="34"/>
      <c r="J9" s="34">
        <f>IFERROR(VLOOKUP(B9&amp;F9&amp;G9&amp;H9&amp;I9,Fatores!A:G,7,0)*C9,"0")</f>
        <v>0</v>
      </c>
      <c r="K9" s="37" t="str">
        <f t="shared" si="2"/>
        <v/>
      </c>
      <c r="L9" s="34">
        <f t="shared" si="0"/>
        <v>0</v>
      </c>
      <c r="M9" s="27" t="str">
        <f t="shared" si="1"/>
        <v/>
      </c>
      <c r="N9" s="21"/>
    </row>
    <row r="10" spans="2:15" x14ac:dyDescent="0.2">
      <c r="B10" s="165"/>
      <c r="C10" s="35"/>
      <c r="D10" s="36"/>
      <c r="E10" s="36"/>
      <c r="F10" s="34"/>
      <c r="G10" s="34"/>
      <c r="H10" s="34"/>
      <c r="I10" s="34"/>
      <c r="J10" s="34">
        <f>IFERROR(VLOOKUP(B10&amp;F10&amp;G10&amp;H10&amp;I10,Fatores!A:G,7,0)*C10,"0")</f>
        <v>0</v>
      </c>
      <c r="K10" s="37" t="str">
        <f t="shared" si="2"/>
        <v/>
      </c>
      <c r="L10" s="34">
        <f t="shared" si="0"/>
        <v>0</v>
      </c>
      <c r="M10" s="27" t="str">
        <f t="shared" si="1"/>
        <v/>
      </c>
      <c r="N10" s="21"/>
    </row>
    <row r="11" spans="2:15" x14ac:dyDescent="0.2">
      <c r="B11" s="165"/>
      <c r="C11" s="35"/>
      <c r="D11" s="36"/>
      <c r="E11" s="36"/>
      <c r="F11" s="34"/>
      <c r="G11" s="34"/>
      <c r="H11" s="34"/>
      <c r="I11" s="34"/>
      <c r="J11" s="34">
        <f>IFERROR(VLOOKUP(B11&amp;F11&amp;G11&amp;H11&amp;I11,Fatores!A:G,7,0)*C11,"0")</f>
        <v>0</v>
      </c>
      <c r="K11" s="37" t="str">
        <f t="shared" si="2"/>
        <v/>
      </c>
      <c r="L11" s="34">
        <f t="shared" si="0"/>
        <v>0</v>
      </c>
      <c r="M11" s="27" t="str">
        <f t="shared" si="1"/>
        <v/>
      </c>
      <c r="N11" s="21"/>
    </row>
    <row r="12" spans="2:15" x14ac:dyDescent="0.2">
      <c r="B12" s="165"/>
      <c r="C12" s="35"/>
      <c r="D12" s="36"/>
      <c r="E12" s="36"/>
      <c r="F12" s="34"/>
      <c r="G12" s="34"/>
      <c r="H12" s="34"/>
      <c r="I12" s="34"/>
      <c r="J12" s="34">
        <f>IFERROR(VLOOKUP(B12&amp;F12&amp;G12&amp;H12&amp;I12,Fatores!A:G,7,0)*C12,"0")</f>
        <v>0</v>
      </c>
      <c r="K12" s="37" t="str">
        <f t="shared" si="2"/>
        <v/>
      </c>
      <c r="L12" s="34">
        <f t="shared" si="0"/>
        <v>0</v>
      </c>
      <c r="M12" s="27" t="str">
        <f t="shared" si="1"/>
        <v/>
      </c>
      <c r="N12" s="21"/>
    </row>
    <row r="13" spans="2:15" x14ac:dyDescent="0.2">
      <c r="B13" s="165"/>
      <c r="C13" s="35"/>
      <c r="D13" s="36"/>
      <c r="E13" s="36"/>
      <c r="F13" s="34"/>
      <c r="G13" s="34"/>
      <c r="H13" s="34"/>
      <c r="I13" s="34"/>
      <c r="J13" s="34">
        <f>IFERROR(VLOOKUP(B13&amp;F13&amp;G13&amp;H13&amp;I13,Fatores!A:G,7,0)*C13,"0")</f>
        <v>0</v>
      </c>
      <c r="K13" s="37"/>
      <c r="L13" s="34">
        <f t="shared" si="0"/>
        <v>0</v>
      </c>
      <c r="M13" s="27"/>
      <c r="N13" s="21"/>
    </row>
    <row r="14" spans="2:15" x14ac:dyDescent="0.2">
      <c r="B14" s="165"/>
      <c r="C14" s="35"/>
      <c r="D14" s="36"/>
      <c r="E14" s="36"/>
      <c r="F14" s="34"/>
      <c r="G14" s="34"/>
      <c r="H14" s="34"/>
      <c r="I14" s="34"/>
      <c r="J14" s="34">
        <f>IFERROR(VLOOKUP(B14&amp;F14&amp;G14&amp;H14&amp;I14,Fatores!A:G,7,0)*C14,"0")</f>
        <v>0</v>
      </c>
      <c r="K14" s="37" t="str">
        <f t="shared" si="2"/>
        <v/>
      </c>
      <c r="L14" s="34">
        <f t="shared" si="0"/>
        <v>0</v>
      </c>
      <c r="M14" s="27" t="str">
        <f t="shared" si="1"/>
        <v/>
      </c>
      <c r="N14" s="21"/>
    </row>
    <row r="15" spans="2:15" x14ac:dyDescent="0.2">
      <c r="B15" s="165"/>
      <c r="C15" s="35"/>
      <c r="D15" s="36"/>
      <c r="E15" s="36"/>
      <c r="F15" s="34"/>
      <c r="G15" s="34"/>
      <c r="H15" s="34"/>
      <c r="I15" s="34"/>
      <c r="J15" s="34">
        <f>IFERROR(VLOOKUP(B15&amp;F15&amp;G15&amp;H15&amp;I15,Fatores!A:G,7,0)*C15,"0")</f>
        <v>0</v>
      </c>
      <c r="K15" s="37" t="str">
        <f t="shared" si="2"/>
        <v/>
      </c>
      <c r="L15" s="34">
        <f t="shared" si="0"/>
        <v>0</v>
      </c>
      <c r="M15" s="27" t="str">
        <f t="shared" si="1"/>
        <v/>
      </c>
      <c r="N15" s="21"/>
    </row>
    <row r="16" spans="2:15" x14ac:dyDescent="0.2">
      <c r="B16" s="165"/>
      <c r="C16" s="35"/>
      <c r="D16" s="36"/>
      <c r="E16" s="36"/>
      <c r="F16" s="34"/>
      <c r="G16" s="34"/>
      <c r="H16" s="34"/>
      <c r="I16" s="34"/>
      <c r="J16" s="34">
        <f>IFERROR(VLOOKUP(B16&amp;F16&amp;G16&amp;H16&amp;I16,Fatores!A:G,7,0)*C16,"0")</f>
        <v>0</v>
      </c>
      <c r="K16" s="37" t="str">
        <f t="shared" si="2"/>
        <v/>
      </c>
      <c r="L16" s="34">
        <f t="shared" si="0"/>
        <v>0</v>
      </c>
      <c r="M16" s="27" t="str">
        <f t="shared" si="1"/>
        <v/>
      </c>
      <c r="N16" s="21"/>
    </row>
    <row r="17" spans="2:14" x14ac:dyDescent="0.2">
      <c r="B17" s="165"/>
      <c r="C17" s="35"/>
      <c r="D17" s="36"/>
      <c r="E17" s="36"/>
      <c r="F17" s="34"/>
      <c r="G17" s="34"/>
      <c r="H17" s="34"/>
      <c r="I17" s="34"/>
      <c r="J17" s="34">
        <f>IFERROR(VLOOKUP(B17&amp;F17&amp;G17&amp;H17&amp;I17,Fatores!A:G,7,0)*C17,"0")</f>
        <v>0</v>
      </c>
      <c r="K17" s="37" t="str">
        <f t="shared" si="2"/>
        <v/>
      </c>
      <c r="L17" s="34">
        <f t="shared" si="0"/>
        <v>0</v>
      </c>
      <c r="M17" s="27" t="str">
        <f t="shared" si="1"/>
        <v/>
      </c>
      <c r="N17" s="21"/>
    </row>
    <row r="18" spans="2:14" x14ac:dyDescent="0.2">
      <c r="B18" s="165"/>
      <c r="C18" s="35"/>
      <c r="D18" s="36"/>
      <c r="E18" s="36"/>
      <c r="F18" s="34"/>
      <c r="G18" s="34"/>
      <c r="H18" s="34"/>
      <c r="I18" s="34"/>
      <c r="J18" s="34">
        <f>IFERROR(VLOOKUP(B18&amp;F18&amp;G18&amp;H18&amp;I18,Fatores!A:G,7,0)*C18,"0")</f>
        <v>0</v>
      </c>
      <c r="K18" s="37" t="str">
        <f t="shared" si="2"/>
        <v/>
      </c>
      <c r="L18" s="34">
        <f t="shared" si="0"/>
        <v>0</v>
      </c>
      <c r="M18" s="27" t="str">
        <f t="shared" si="1"/>
        <v/>
      </c>
      <c r="N18" s="21"/>
    </row>
    <row r="19" spans="2:14" x14ac:dyDescent="0.2">
      <c r="B19" s="165"/>
      <c r="C19" s="35"/>
      <c r="D19" s="36"/>
      <c r="E19" s="36"/>
      <c r="F19" s="34"/>
      <c r="G19" s="34"/>
      <c r="H19" s="34"/>
      <c r="I19" s="34"/>
      <c r="J19" s="34">
        <f>IFERROR(VLOOKUP(B19&amp;F19&amp;G19&amp;H19&amp;I19,Fatores!A:G,7,0)*C19,"0")</f>
        <v>0</v>
      </c>
      <c r="K19" s="37" t="str">
        <f t="shared" si="2"/>
        <v/>
      </c>
      <c r="L19" s="34">
        <f t="shared" si="0"/>
        <v>0</v>
      </c>
      <c r="M19" s="27" t="str">
        <f t="shared" si="1"/>
        <v/>
      </c>
      <c r="N19" s="21"/>
    </row>
    <row r="20" spans="2:14" ht="13.5" thickBot="1" x14ac:dyDescent="0.25">
      <c r="B20" s="165"/>
      <c r="C20" s="35"/>
      <c r="D20" s="36"/>
      <c r="E20" s="36"/>
      <c r="F20" s="34"/>
      <c r="G20" s="34"/>
      <c r="H20" s="34"/>
      <c r="I20" s="34"/>
      <c r="J20" s="34">
        <f>IFERROR(VLOOKUP(B20&amp;F20&amp;G20&amp;H20&amp;I20,Fatores!A:G,7,0)*C20,"0")</f>
        <v>0</v>
      </c>
      <c r="K20" s="37" t="str">
        <f t="shared" si="2"/>
        <v/>
      </c>
      <c r="L20" s="34">
        <f t="shared" si="0"/>
        <v>0</v>
      </c>
      <c r="M20" s="27" t="str">
        <f t="shared" si="1"/>
        <v/>
      </c>
      <c r="N20" s="21"/>
    </row>
    <row r="21" spans="2:14" ht="13.5" thickBot="1" x14ac:dyDescent="0.25">
      <c r="B21" s="297" t="s">
        <v>227</v>
      </c>
      <c r="C21" s="298"/>
      <c r="D21" s="298"/>
      <c r="E21" s="298"/>
      <c r="F21" s="298"/>
      <c r="G21" s="298"/>
      <c r="H21" s="298"/>
      <c r="I21" s="299"/>
      <c r="J21" s="90">
        <f>SUM(J5:J20)-M21</f>
        <v>0</v>
      </c>
      <c r="K21" s="31"/>
      <c r="L21" s="164">
        <f>SUM(L5:L20)</f>
        <v>0</v>
      </c>
      <c r="M21" s="31">
        <f>SUM(M5:M20)</f>
        <v>0</v>
      </c>
      <c r="N21" s="21"/>
    </row>
    <row r="22" spans="2:14" x14ac:dyDescent="0.2">
      <c r="B22" s="19"/>
      <c r="C22" s="30"/>
      <c r="D22" s="20"/>
      <c r="E22" s="20"/>
      <c r="F22" s="32"/>
      <c r="G22" s="32"/>
      <c r="H22" s="32"/>
      <c r="I22" s="32"/>
      <c r="J22" s="32"/>
      <c r="K22" s="21"/>
      <c r="L22" s="21"/>
      <c r="M22" s="21"/>
      <c r="N22" s="21"/>
    </row>
    <row r="23" spans="2:14" ht="13.5" hidden="1" customHeight="1" x14ac:dyDescent="0.2">
      <c r="B23" s="22"/>
      <c r="C23" s="89"/>
      <c r="D23" s="22"/>
      <c r="E23" s="22"/>
      <c r="F23" s="33"/>
      <c r="G23" s="33"/>
      <c r="H23" s="33"/>
      <c r="I23" s="33"/>
      <c r="J23" s="33"/>
      <c r="K23" s="23"/>
      <c r="L23" s="23"/>
      <c r="M23" s="23"/>
      <c r="N23" s="23"/>
    </row>
    <row r="24" spans="2:14" hidden="1" x14ac:dyDescent="0.2"/>
    <row r="25" spans="2:14" hidden="1" x14ac:dyDescent="0.2"/>
    <row r="26" spans="2:14" hidden="1" x14ac:dyDescent="0.2"/>
    <row r="27" spans="2:14" hidden="1" x14ac:dyDescent="0.2"/>
    <row r="28" spans="2:14" hidden="1" x14ac:dyDescent="0.2"/>
    <row r="29" spans="2:14" hidden="1" x14ac:dyDescent="0.2"/>
    <row r="30" spans="2:14" hidden="1" x14ac:dyDescent="0.2"/>
    <row r="31" spans="2:14" hidden="1" x14ac:dyDescent="0.2"/>
    <row r="32" spans="2:14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x14ac:dyDescent="0.2"/>
    <row r="92" x14ac:dyDescent="0.2"/>
  </sheetData>
  <dataConsolidate>
    <dataRefs count="1">
      <dataRef ref="E10:I10" sheet="Detalhamento Confirmação" r:id="rId1"/>
    </dataRefs>
  </dataConsolidate>
  <mergeCells count="3">
    <mergeCell ref="B21:I21"/>
    <mergeCell ref="B2:L3"/>
    <mergeCell ref="M2:M3"/>
  </mergeCells>
  <phoneticPr fontId="2" type="noConversion"/>
  <conditionalFormatting sqref="H9:H20">
    <cfRule type="expression" dxfId="18" priority="71" stopIfTrue="1">
      <formula>AND(G9="I",H9&lt;&gt;"Simples")</formula>
    </cfRule>
  </conditionalFormatting>
  <conditionalFormatting sqref="H5">
    <cfRule type="expression" dxfId="17" priority="47" stopIfTrue="1">
      <formula>AND(G5="I",H5&lt;&gt;"Simples")</formula>
    </cfRule>
  </conditionalFormatting>
  <conditionalFormatting sqref="I5 I7:I20">
    <cfRule type="expression" dxfId="16" priority="46" stopIfTrue="1">
      <formula>OR(AND(G5="N",I5&lt;&gt;"N/A"),AND(G5="A",I5="N/A"),AND(G5="I",I5&lt;&gt; "Simples"))</formula>
    </cfRule>
  </conditionalFormatting>
  <conditionalFormatting sqref="H6">
    <cfRule type="expression" dxfId="15" priority="10" stopIfTrue="1">
      <formula>AND(G6="I",H6&lt;&gt;"Simples")</formula>
    </cfRule>
  </conditionalFormatting>
  <conditionalFormatting sqref="I5:I20">
    <cfRule type="expression" dxfId="14" priority="9" stopIfTrue="1">
      <formula>OR(AND(G5="N",I5&lt;&gt;"N/A"),AND(G5="A",I5="N/A"),AND(G5="I",I5&lt;&gt; "Simples"))</formula>
    </cfRule>
  </conditionalFormatting>
  <conditionalFormatting sqref="H7">
    <cfRule type="expression" dxfId="13" priority="2" stopIfTrue="1">
      <formula>AND(G7="I",H7&lt;&gt;"Simples")</formula>
    </cfRule>
  </conditionalFormatting>
  <conditionalFormatting sqref="H8">
    <cfRule type="expression" dxfId="12" priority="1" stopIfTrue="1">
      <formula>AND(G8="I",H8&lt;&gt;"Simples")</formula>
    </cfRule>
  </conditionalFormatting>
  <pageMargins left="0.78740157499999996" right="0.78740157499999996" top="0.984251969" bottom="0.984251969" header="0.5" footer="0.5"/>
  <pageSetup paperSize="9" orientation="portrait" r:id="rId2"/>
  <headerFooter alignWithMargins="0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Configs!$E$3:$E$5</xm:f>
          </x14:formula1>
          <xm:sqref>H5:H20</xm:sqref>
        </x14:dataValidation>
        <x14:dataValidation type="list" allowBlank="1" showInputMessage="1" showErrorMessage="1">
          <x14:formula1>
            <xm:f>Configs!$F$3:$F$6</xm:f>
          </x14:formula1>
          <xm:sqref>I5:I20</xm:sqref>
        </x14:dataValidation>
        <x14:dataValidation type="list" allowBlank="1" showInputMessage="1" showErrorMessage="1">
          <x14:formula1>
            <xm:f>Configs!$D$3:$D$5</xm:f>
          </x14:formula1>
          <xm:sqref>G5:G20</xm:sqref>
        </x14:dataValidation>
        <x14:dataValidation type="list" allowBlank="1" showInputMessage="1" showErrorMessage="1">
          <x14:formula1>
            <xm:f>Configs!$A$2:$A$22</xm:f>
          </x14:formula1>
          <xm:sqref>B5:B20</xm:sqref>
        </x14:dataValidation>
        <x14:dataValidation type="list" allowBlank="1" showInputMessage="1" showErrorMessage="1">
          <x14:formula1>
            <xm:f>Configs!$C$2:$C23</xm:f>
          </x14:formula1>
          <xm:sqref>F5:F20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B1:O36"/>
  <sheetViews>
    <sheetView showGridLines="0" workbookViewId="0">
      <selection activeCell="F15" sqref="F15"/>
    </sheetView>
  </sheetViews>
  <sheetFormatPr defaultRowHeight="12.75" x14ac:dyDescent="0.2"/>
  <cols>
    <col min="2" max="2" width="12.7109375" customWidth="1"/>
    <col min="3" max="3" width="17.7109375" customWidth="1"/>
    <col min="4" max="4" width="8.7109375" customWidth="1"/>
    <col min="7" max="7" width="9.140625" customWidth="1"/>
    <col min="8" max="8" width="10.85546875" bestFit="1" customWidth="1"/>
    <col min="12" max="12" width="12.7109375" customWidth="1"/>
  </cols>
  <sheetData>
    <row r="1" spans="2:15" ht="13.5" thickBot="1" x14ac:dyDescent="0.25"/>
    <row r="2" spans="2:15" ht="17.25" customHeight="1" x14ac:dyDescent="0.2">
      <c r="B2" s="320"/>
      <c r="C2" s="321"/>
      <c r="D2" s="315" t="s">
        <v>146</v>
      </c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6"/>
    </row>
    <row r="3" spans="2:15" ht="20.25" customHeight="1" thickBot="1" x14ac:dyDescent="0.25">
      <c r="B3" s="322"/>
      <c r="C3" s="323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8"/>
    </row>
    <row r="4" spans="2:15" ht="13.5" thickBot="1" x14ac:dyDescent="0.25">
      <c r="B4" s="324" t="s">
        <v>44</v>
      </c>
      <c r="C4" s="325"/>
      <c r="D4" s="325"/>
      <c r="E4" s="325"/>
      <c r="F4" s="325"/>
      <c r="G4" s="326"/>
      <c r="H4" s="309" t="s">
        <v>148</v>
      </c>
      <c r="I4" s="310"/>
      <c r="J4" s="310"/>
      <c r="K4" s="311"/>
      <c r="L4" s="312" t="s">
        <v>55</v>
      </c>
      <c r="M4" s="313"/>
      <c r="N4" s="313"/>
      <c r="O4" s="314"/>
    </row>
    <row r="5" spans="2:15" ht="28.5" customHeight="1" thickBot="1" x14ac:dyDescent="0.25">
      <c r="B5" s="306" t="s">
        <v>15</v>
      </c>
      <c r="C5" s="307"/>
      <c r="D5" s="190" t="s">
        <v>39</v>
      </c>
      <c r="E5" s="190" t="s">
        <v>40</v>
      </c>
      <c r="F5" s="190" t="s">
        <v>144</v>
      </c>
      <c r="G5" s="191"/>
      <c r="H5" s="189" t="s">
        <v>15</v>
      </c>
      <c r="I5" s="190" t="s">
        <v>39</v>
      </c>
      <c r="J5" s="192" t="s">
        <v>40</v>
      </c>
      <c r="K5" s="192" t="s">
        <v>144</v>
      </c>
      <c r="L5" s="192" t="s">
        <v>15</v>
      </c>
      <c r="M5" s="190" t="s">
        <v>39</v>
      </c>
      <c r="N5" s="192" t="s">
        <v>40</v>
      </c>
      <c r="O5" s="190" t="s">
        <v>144</v>
      </c>
    </row>
    <row r="6" spans="2:15" x14ac:dyDescent="0.2">
      <c r="B6" s="319" t="s">
        <v>42</v>
      </c>
      <c r="C6" s="319"/>
      <c r="D6" s="177">
        <f>SUMIF(Checklist!$F$4:$F$43,G6,Checklist!$H$4:$H$43)*(1+$C$18)</f>
        <v>0</v>
      </c>
      <c r="E6" s="178">
        <f t="shared" ref="E6:E10" si="0">D6/8</f>
        <v>0</v>
      </c>
      <c r="F6" s="185">
        <f t="shared" ref="F6:F14" si="1">D6/$C$19</f>
        <v>0</v>
      </c>
      <c r="G6" s="186" t="s">
        <v>46</v>
      </c>
      <c r="H6" s="179" t="s">
        <v>166</v>
      </c>
      <c r="I6" s="174">
        <f>D9</f>
        <v>0</v>
      </c>
      <c r="J6" s="174">
        <f>I6/8</f>
        <v>0</v>
      </c>
      <c r="K6" s="176">
        <f>I6/4</f>
        <v>0</v>
      </c>
      <c r="L6" s="188" t="s">
        <v>2</v>
      </c>
      <c r="M6" s="197">
        <f>D6</f>
        <v>0</v>
      </c>
      <c r="N6" s="197">
        <f>E6</f>
        <v>0</v>
      </c>
      <c r="O6" s="187">
        <f t="shared" ref="O6:O11" si="2">N6/$C$19</f>
        <v>0</v>
      </c>
    </row>
    <row r="7" spans="2:15" x14ac:dyDescent="0.2">
      <c r="B7" s="308" t="s">
        <v>37</v>
      </c>
      <c r="C7" s="308"/>
      <c r="D7" s="174">
        <f>SUMIF(Checklist!$F$4:$F$43,G7,Checklist!$H$4:$H$43)*(1+$C$18)</f>
        <v>0</v>
      </c>
      <c r="E7" s="175">
        <f t="shared" si="0"/>
        <v>0</v>
      </c>
      <c r="F7" s="67">
        <f t="shared" si="1"/>
        <v>0</v>
      </c>
      <c r="G7" s="169" t="s">
        <v>37</v>
      </c>
      <c r="H7" s="168" t="s">
        <v>5</v>
      </c>
      <c r="I7" s="174">
        <f>SUM(D10:D11)</f>
        <v>0</v>
      </c>
      <c r="J7" s="174">
        <f>I7/8</f>
        <v>0</v>
      </c>
      <c r="K7" s="176">
        <f>I7/4</f>
        <v>0</v>
      </c>
      <c r="L7" s="168" t="s">
        <v>3</v>
      </c>
      <c r="M7" s="198">
        <f>D7+D8</f>
        <v>0</v>
      </c>
      <c r="N7" s="198">
        <f>E7+E8</f>
        <v>0</v>
      </c>
      <c r="O7" s="187">
        <f t="shared" si="2"/>
        <v>0</v>
      </c>
    </row>
    <row r="8" spans="2:15" x14ac:dyDescent="0.2">
      <c r="B8" s="308" t="s">
        <v>43</v>
      </c>
      <c r="C8" s="308"/>
      <c r="D8" s="174">
        <f>SUMIF(Checklist!$F$4:$F$43,G8,Checklist!$H$4:$H$43)*(1+$C$18)</f>
        <v>0</v>
      </c>
      <c r="E8" s="175">
        <f t="shared" si="0"/>
        <v>0</v>
      </c>
      <c r="F8" s="67">
        <f t="shared" si="1"/>
        <v>0</v>
      </c>
      <c r="G8" s="169" t="s">
        <v>47</v>
      </c>
      <c r="H8" s="168" t="s">
        <v>54</v>
      </c>
      <c r="I8" s="174">
        <f>D12</f>
        <v>0</v>
      </c>
      <c r="J8" s="174">
        <f>I8/8</f>
        <v>0</v>
      </c>
      <c r="K8" s="176">
        <f>I8/4</f>
        <v>0</v>
      </c>
      <c r="L8" s="168" t="s">
        <v>4</v>
      </c>
      <c r="M8" s="198">
        <f>D9</f>
        <v>0</v>
      </c>
      <c r="N8" s="198">
        <f>E9</f>
        <v>0</v>
      </c>
      <c r="O8" s="187">
        <f t="shared" si="2"/>
        <v>0</v>
      </c>
    </row>
    <row r="9" spans="2:15" x14ac:dyDescent="0.2">
      <c r="B9" s="308" t="s">
        <v>166</v>
      </c>
      <c r="C9" s="308"/>
      <c r="D9" s="174">
        <f>SUMIF(Checklist!$F$4:$F$43,G9,Checklist!$H$4:$H$43)*(1+$C$18)</f>
        <v>0</v>
      </c>
      <c r="E9" s="175">
        <f t="shared" si="0"/>
        <v>0</v>
      </c>
      <c r="F9" s="67">
        <f t="shared" si="1"/>
        <v>0</v>
      </c>
      <c r="G9" s="169" t="s">
        <v>35</v>
      </c>
      <c r="H9" s="168" t="s">
        <v>38</v>
      </c>
      <c r="I9" s="174">
        <f>D13</f>
        <v>0</v>
      </c>
      <c r="J9" s="174">
        <f>I9/8</f>
        <v>0</v>
      </c>
      <c r="K9" s="176">
        <f>I9/4</f>
        <v>0</v>
      </c>
      <c r="L9" s="168" t="s">
        <v>5</v>
      </c>
      <c r="M9" s="198">
        <f>D10+D12</f>
        <v>0</v>
      </c>
      <c r="N9" s="198">
        <f>E10+E12</f>
        <v>0</v>
      </c>
      <c r="O9" s="187">
        <f t="shared" si="2"/>
        <v>0</v>
      </c>
    </row>
    <row r="10" spans="2:15" x14ac:dyDescent="0.2">
      <c r="B10" s="308" t="s">
        <v>41</v>
      </c>
      <c r="C10" s="308"/>
      <c r="D10" s="174">
        <f>SUMIF(Checklist!$F$4:$F$43,G10,Checklist!$H$4:$H$43)*(1+$C$18)</f>
        <v>0</v>
      </c>
      <c r="E10" s="175">
        <f t="shared" si="0"/>
        <v>0</v>
      </c>
      <c r="F10" s="67">
        <f t="shared" si="1"/>
        <v>0</v>
      </c>
      <c r="G10" s="169" t="s">
        <v>48</v>
      </c>
      <c r="H10" s="193" t="s">
        <v>16</v>
      </c>
      <c r="I10" s="180">
        <f>SUM(I6:I9)</f>
        <v>0</v>
      </c>
      <c r="J10" s="181">
        <f>SUM(J6:J9)</f>
        <v>0</v>
      </c>
      <c r="K10" s="184">
        <f>SUM(K6:K9)</f>
        <v>0</v>
      </c>
      <c r="L10" s="168" t="s">
        <v>8</v>
      </c>
      <c r="M10" s="208">
        <f>D12+D13</f>
        <v>0</v>
      </c>
      <c r="N10" s="208">
        <f>E11+E13</f>
        <v>0</v>
      </c>
      <c r="O10" s="187">
        <f t="shared" si="2"/>
        <v>0</v>
      </c>
    </row>
    <row r="11" spans="2:15" x14ac:dyDescent="0.2">
      <c r="B11" s="202" t="s">
        <v>50</v>
      </c>
      <c r="C11" s="202"/>
      <c r="D11" s="174">
        <f>SUMIF(Checklist!$F$4:$F$43,G11,Checklist!$H$4:$H$43)*(1+$C$18)</f>
        <v>0</v>
      </c>
      <c r="E11" s="175">
        <f t="shared" ref="E11:E14" si="3">D11/8</f>
        <v>0</v>
      </c>
      <c r="F11" s="67">
        <f t="shared" si="1"/>
        <v>0</v>
      </c>
      <c r="G11" s="169" t="s">
        <v>77</v>
      </c>
      <c r="L11" s="168" t="s">
        <v>9</v>
      </c>
      <c r="M11" s="208">
        <f>D13</f>
        <v>0</v>
      </c>
      <c r="N11" s="208">
        <f>E12+E14</f>
        <v>0</v>
      </c>
      <c r="O11" s="187">
        <f t="shared" si="2"/>
        <v>0</v>
      </c>
    </row>
    <row r="12" spans="2:15" x14ac:dyDescent="0.2">
      <c r="B12" s="308" t="s">
        <v>53</v>
      </c>
      <c r="C12" s="308"/>
      <c r="D12" s="174">
        <f>SUMIF(Checklist!$F$4:$F$43,G12,Checklist!$H$4:$H$43)*(1+$C$18)</f>
        <v>0</v>
      </c>
      <c r="E12" s="175">
        <f t="shared" si="3"/>
        <v>0</v>
      </c>
      <c r="F12" s="67">
        <f t="shared" si="1"/>
        <v>0</v>
      </c>
      <c r="G12" s="169" t="s">
        <v>52</v>
      </c>
      <c r="H12" s="203"/>
      <c r="I12" s="204"/>
      <c r="J12" s="205"/>
      <c r="K12" s="206"/>
      <c r="L12" s="193" t="s">
        <v>16</v>
      </c>
      <c r="M12" s="194">
        <f>SUM(M6:M11)</f>
        <v>0</v>
      </c>
      <c r="N12" s="195">
        <f>SUM(N6:N11)</f>
        <v>0</v>
      </c>
      <c r="O12" s="196">
        <f>SUM(O6:O11)</f>
        <v>0</v>
      </c>
    </row>
    <row r="13" spans="2:15" x14ac:dyDescent="0.2">
      <c r="B13" s="308" t="s">
        <v>51</v>
      </c>
      <c r="C13" s="308"/>
      <c r="D13" s="174">
        <f>SUMIF(Checklist!$F$4:$F$43,G13,Checklist!$H$4:$H$43)*(1+$C$18)</f>
        <v>0</v>
      </c>
      <c r="E13" s="175">
        <f t="shared" si="3"/>
        <v>0</v>
      </c>
      <c r="F13" s="67">
        <f t="shared" si="1"/>
        <v>0</v>
      </c>
      <c r="G13" s="169" t="s">
        <v>49</v>
      </c>
      <c r="H13" s="68"/>
      <c r="I13" s="68"/>
      <c r="J13" s="68"/>
      <c r="K13" s="68"/>
      <c r="L13" s="68"/>
      <c r="M13" s="68"/>
      <c r="N13" s="68"/>
      <c r="O13" s="68"/>
    </row>
    <row r="14" spans="2:15" x14ac:dyDescent="0.2">
      <c r="B14" s="308" t="s">
        <v>62</v>
      </c>
      <c r="C14" s="308"/>
      <c r="D14" s="174">
        <f>SUMIF(Checklist!$F$4:$F$43,G14,Checklist!$H$4:$H$43)*(1+$C$18)</f>
        <v>0</v>
      </c>
      <c r="E14" s="175">
        <f t="shared" si="3"/>
        <v>0</v>
      </c>
      <c r="F14" s="67">
        <f t="shared" si="1"/>
        <v>0</v>
      </c>
      <c r="G14" s="169" t="s">
        <v>59</v>
      </c>
      <c r="H14" s="68"/>
      <c r="I14" s="68"/>
      <c r="J14" s="68"/>
      <c r="K14" s="68"/>
      <c r="L14" s="68"/>
      <c r="M14" s="68"/>
      <c r="N14" s="68"/>
      <c r="O14" s="68"/>
    </row>
    <row r="15" spans="2:15" x14ac:dyDescent="0.2">
      <c r="B15" s="304" t="s">
        <v>16</v>
      </c>
      <c r="C15" s="305"/>
      <c r="D15" s="182">
        <f>SUM(D6:D14)</f>
        <v>0</v>
      </c>
      <c r="E15" s="183">
        <f>SUM(E6:E14)</f>
        <v>0</v>
      </c>
      <c r="F15" s="183">
        <f>SUM(F6:F14)</f>
        <v>0</v>
      </c>
      <c r="G15" s="170"/>
      <c r="H15" s="68"/>
      <c r="I15" s="68"/>
      <c r="J15" s="68"/>
      <c r="K15" s="68"/>
      <c r="L15" s="68"/>
      <c r="M15" s="68"/>
      <c r="N15" s="68"/>
      <c r="O15" s="68"/>
    </row>
    <row r="16" spans="2:15" x14ac:dyDescent="0.2">
      <c r="B16" s="59"/>
      <c r="C16" s="59"/>
      <c r="D16" s="60"/>
      <c r="E16" s="65"/>
      <c r="F16" s="66"/>
      <c r="G16" s="63"/>
      <c r="H16" s="62"/>
    </row>
    <row r="17" spans="2:8" ht="13.5" thickBot="1" x14ac:dyDescent="0.25">
      <c r="B17" s="59"/>
      <c r="C17" s="59"/>
      <c r="D17" s="60"/>
      <c r="E17" s="65"/>
      <c r="F17" s="66"/>
      <c r="G17" s="63"/>
      <c r="H17" s="62"/>
    </row>
    <row r="18" spans="2:8" ht="13.5" thickBot="1" x14ac:dyDescent="0.25">
      <c r="B18" s="173" t="s">
        <v>56</v>
      </c>
      <c r="C18" s="171">
        <v>0.15</v>
      </c>
      <c r="G18" s="41"/>
      <c r="H18" s="40"/>
    </row>
    <row r="19" spans="2:8" ht="14.25" thickBot="1" x14ac:dyDescent="0.3">
      <c r="B19" s="173" t="s">
        <v>147</v>
      </c>
      <c r="C19" s="172">
        <v>4</v>
      </c>
      <c r="G19" s="6"/>
      <c r="H19" s="40"/>
    </row>
    <row r="20" spans="2:8" ht="13.5" x14ac:dyDescent="0.25">
      <c r="G20" s="79"/>
      <c r="H20" s="40"/>
    </row>
    <row r="21" spans="2:8" ht="13.5" x14ac:dyDescent="0.25">
      <c r="G21" s="6"/>
      <c r="H21" s="40"/>
    </row>
    <row r="22" spans="2:8" ht="13.5" x14ac:dyDescent="0.25">
      <c r="G22" s="6"/>
      <c r="H22" s="40"/>
    </row>
    <row r="23" spans="2:8" ht="13.5" x14ac:dyDescent="0.25">
      <c r="G23" s="6"/>
      <c r="H23" s="40"/>
    </row>
    <row r="24" spans="2:8" ht="13.5" x14ac:dyDescent="0.25">
      <c r="G24" s="11"/>
      <c r="H24" s="9"/>
    </row>
    <row r="25" spans="2:8" ht="13.5" x14ac:dyDescent="0.25">
      <c r="G25" s="11"/>
      <c r="H25" s="9"/>
    </row>
    <row r="26" spans="2:8" ht="13.5" x14ac:dyDescent="0.25">
      <c r="G26" s="6"/>
      <c r="H26" s="40"/>
    </row>
    <row r="27" spans="2:8" ht="13.5" x14ac:dyDescent="0.25">
      <c r="B27" s="58"/>
      <c r="C27" s="59"/>
      <c r="D27" s="60"/>
      <c r="E27" s="64"/>
      <c r="F27" s="61"/>
      <c r="G27" s="6"/>
      <c r="H27" s="40"/>
    </row>
    <row r="28" spans="2:8" x14ac:dyDescent="0.2">
      <c r="G28" s="41"/>
      <c r="H28" s="40"/>
    </row>
    <row r="29" spans="2:8" x14ac:dyDescent="0.2">
      <c r="G29" s="41"/>
      <c r="H29" s="40"/>
    </row>
    <row r="30" spans="2:8" x14ac:dyDescent="0.2">
      <c r="G30" s="41"/>
      <c r="H30" s="40"/>
    </row>
    <row r="31" spans="2:8" x14ac:dyDescent="0.2">
      <c r="G31" s="41"/>
      <c r="H31" s="40"/>
    </row>
    <row r="32" spans="2:8" x14ac:dyDescent="0.2">
      <c r="G32" s="41"/>
      <c r="H32" s="40"/>
    </row>
    <row r="33" spans="8:8" x14ac:dyDescent="0.2">
      <c r="H33" s="1"/>
    </row>
    <row r="34" spans="8:8" x14ac:dyDescent="0.2">
      <c r="H34" s="1"/>
    </row>
    <row r="35" spans="8:8" x14ac:dyDescent="0.2">
      <c r="H35" s="1"/>
    </row>
    <row r="36" spans="8:8" x14ac:dyDescent="0.2">
      <c r="H36" s="1"/>
    </row>
  </sheetData>
  <mergeCells count="15">
    <mergeCell ref="H4:K4"/>
    <mergeCell ref="L4:O4"/>
    <mergeCell ref="D2:O3"/>
    <mergeCell ref="B6:C6"/>
    <mergeCell ref="B2:C3"/>
    <mergeCell ref="B4:G4"/>
    <mergeCell ref="B15:C15"/>
    <mergeCell ref="B5:C5"/>
    <mergeCell ref="B12:C12"/>
    <mergeCell ref="B13:C13"/>
    <mergeCell ref="B14:C14"/>
    <mergeCell ref="B7:C7"/>
    <mergeCell ref="B8:C8"/>
    <mergeCell ref="B9:C9"/>
    <mergeCell ref="B10:C1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E8"/>
  <sheetViews>
    <sheetView workbookViewId="0">
      <selection activeCell="E8" sqref="E8"/>
    </sheetView>
  </sheetViews>
  <sheetFormatPr defaultColWidth="0" defaultRowHeight="12.75" zeroHeight="1" x14ac:dyDescent="0.2"/>
  <cols>
    <col min="1" max="1" width="11.42578125" customWidth="1"/>
    <col min="2" max="2" width="12" customWidth="1"/>
    <col min="3" max="3" width="11.5703125" customWidth="1"/>
    <col min="4" max="4" width="12.5703125" customWidth="1"/>
    <col min="5" max="5" width="1.28515625" style="222" customWidth="1"/>
    <col min="6" max="16384" width="9.140625" hidden="1"/>
  </cols>
  <sheetData>
    <row r="1" spans="1:4" ht="33.75" customHeight="1" x14ac:dyDescent="0.2">
      <c r="A1" s="222"/>
      <c r="B1" s="222"/>
      <c r="C1" s="222"/>
      <c r="D1" s="222"/>
    </row>
    <row r="2" spans="1:4" ht="15.75" x14ac:dyDescent="0.25">
      <c r="A2" s="329" t="str">
        <f>Sumário!D2</f>
        <v>1152 - SOPHIA_Fase 2 - SOPROD-243</v>
      </c>
      <c r="B2" s="329"/>
      <c r="C2" s="329"/>
      <c r="D2" s="329"/>
    </row>
    <row r="3" spans="1:4" x14ac:dyDescent="0.2">
      <c r="A3" s="330" t="s">
        <v>15</v>
      </c>
      <c r="B3" s="330"/>
      <c r="C3" s="330" t="s">
        <v>195</v>
      </c>
      <c r="D3" s="330"/>
    </row>
    <row r="4" spans="1:4" x14ac:dyDescent="0.2">
      <c r="A4" s="331" t="s">
        <v>166</v>
      </c>
      <c r="B4" s="331"/>
      <c r="C4" s="332">
        <f>SUM(Avaliação!F6:F9)</f>
        <v>0</v>
      </c>
      <c r="D4" s="332"/>
    </row>
    <row r="5" spans="1:4" x14ac:dyDescent="0.2">
      <c r="A5" s="331" t="s">
        <v>196</v>
      </c>
      <c r="B5" s="331"/>
      <c r="C5" s="332">
        <f>SUM(Avaliação!F10:F11)</f>
        <v>0</v>
      </c>
      <c r="D5" s="332"/>
    </row>
    <row r="6" spans="1:4" ht="13.5" thickBot="1" x14ac:dyDescent="0.25">
      <c r="A6" s="331" t="s">
        <v>197</v>
      </c>
      <c r="B6" s="331"/>
      <c r="C6" s="332">
        <f>SUM(Avaliação!F12:F14)</f>
        <v>0</v>
      </c>
      <c r="D6" s="332"/>
    </row>
    <row r="7" spans="1:4" ht="13.5" thickBot="1" x14ac:dyDescent="0.25">
      <c r="A7" s="227"/>
      <c r="B7" s="227" t="s">
        <v>16</v>
      </c>
      <c r="C7" s="327">
        <f>Avaliação!F15</f>
        <v>0</v>
      </c>
      <c r="D7" s="328"/>
    </row>
    <row r="8" spans="1:4" s="222" customFormat="1" ht="6.75" customHeight="1" x14ac:dyDescent="0.2"/>
  </sheetData>
  <mergeCells count="10">
    <mergeCell ref="C7:D7"/>
    <mergeCell ref="A2:D2"/>
    <mergeCell ref="A3:B3"/>
    <mergeCell ref="A4:B4"/>
    <mergeCell ref="A5:B5"/>
    <mergeCell ref="A6:B6"/>
    <mergeCell ref="C3:D3"/>
    <mergeCell ref="C4:D4"/>
    <mergeCell ref="C5:D5"/>
    <mergeCell ref="C6:D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Q91"/>
  <sheetViews>
    <sheetView showGridLines="0" zoomScaleNormal="100" workbookViewId="0">
      <pane xSplit="3" ySplit="4" topLeftCell="D5" activePane="bottomRight" state="frozen"/>
      <selection activeCell="C6" sqref="C6:D6"/>
      <selection pane="topRight" activeCell="C6" sqref="C6:D6"/>
      <selection pane="bottomLeft" activeCell="C6" sqref="C6:D6"/>
      <selection pane="bottomRight" activeCell="F19" sqref="F19"/>
    </sheetView>
  </sheetViews>
  <sheetFormatPr defaultRowHeight="13.5" x14ac:dyDescent="0.25"/>
  <cols>
    <col min="1" max="1" width="2.42578125" customWidth="1"/>
    <col min="2" max="2" width="11.42578125" customWidth="1"/>
    <col min="3" max="3" width="15.5703125" customWidth="1"/>
    <col min="4" max="4" width="47" customWidth="1"/>
    <col min="5" max="5" width="43.5703125" bestFit="1" customWidth="1"/>
    <col min="6" max="6" width="6.42578125" style="6" customWidth="1"/>
    <col min="7" max="7" width="5.42578125" style="5" customWidth="1"/>
    <col min="8" max="8" width="5.42578125" style="5" bestFit="1" customWidth="1"/>
    <col min="9" max="9" width="5" style="6" bestFit="1" customWidth="1"/>
    <col min="10" max="10" width="6" style="5" bestFit="1" customWidth="1"/>
    <col min="11" max="11" width="3.140625" customWidth="1"/>
    <col min="12" max="12" width="51.85546875" customWidth="1"/>
    <col min="13" max="13" width="20.7109375" customWidth="1"/>
  </cols>
  <sheetData>
    <row r="1" spans="2:10" ht="14.25" thickBot="1" x14ac:dyDescent="0.3">
      <c r="D1" s="68"/>
    </row>
    <row r="2" spans="2:10" ht="25.5" customHeight="1" x14ac:dyDescent="0.2">
      <c r="B2" s="320"/>
      <c r="C2" s="345"/>
      <c r="D2" s="343" t="s">
        <v>84</v>
      </c>
      <c r="E2" s="339" t="s">
        <v>119</v>
      </c>
      <c r="F2" s="339"/>
      <c r="G2" s="339"/>
      <c r="H2" s="339"/>
      <c r="I2" s="339"/>
      <c r="J2" s="340"/>
    </row>
    <row r="3" spans="2:10" thickBot="1" x14ac:dyDescent="0.25">
      <c r="B3" s="346"/>
      <c r="C3" s="347"/>
      <c r="D3" s="344"/>
      <c r="E3" s="341"/>
      <c r="F3" s="341"/>
      <c r="G3" s="341"/>
      <c r="H3" s="341"/>
      <c r="I3" s="341"/>
      <c r="J3" s="342"/>
    </row>
    <row r="4" spans="2:10" s="41" customFormat="1" ht="44.25" customHeight="1" thickBot="1" x14ac:dyDescent="0.25">
      <c r="B4" s="96" t="s">
        <v>85</v>
      </c>
      <c r="C4" s="97" t="s">
        <v>0</v>
      </c>
      <c r="D4" s="97" t="s">
        <v>1</v>
      </c>
      <c r="E4" s="97" t="s">
        <v>33</v>
      </c>
      <c r="F4" s="97" t="s">
        <v>45</v>
      </c>
      <c r="G4" s="97" t="s">
        <v>11</v>
      </c>
      <c r="H4" s="97" t="s">
        <v>12</v>
      </c>
      <c r="I4" s="98" t="s">
        <v>13</v>
      </c>
      <c r="J4" s="99" t="s">
        <v>14</v>
      </c>
    </row>
    <row r="5" spans="2:10" s="41" customFormat="1" ht="12" x14ac:dyDescent="0.2">
      <c r="B5" s="351" t="s">
        <v>62</v>
      </c>
      <c r="C5" s="103" t="s">
        <v>2</v>
      </c>
      <c r="D5" s="100" t="s">
        <v>88</v>
      </c>
      <c r="E5" s="95" t="s">
        <v>87</v>
      </c>
      <c r="F5" s="86" t="s">
        <v>59</v>
      </c>
      <c r="G5" s="87">
        <f>$J5*Detalhamento!$J$21</f>
        <v>0</v>
      </c>
      <c r="H5" s="87">
        <f>IF(UPPER($I5)="X",0,$G5)</f>
        <v>0</v>
      </c>
      <c r="I5" s="88"/>
      <c r="J5" s="223">
        <v>0.01</v>
      </c>
    </row>
    <row r="6" spans="2:10" s="41" customFormat="1" ht="12" x14ac:dyDescent="0.2">
      <c r="B6" s="351"/>
      <c r="C6" s="103" t="s">
        <v>63</v>
      </c>
      <c r="D6" s="100" t="s">
        <v>89</v>
      </c>
      <c r="E6" s="85" t="s">
        <v>164</v>
      </c>
      <c r="F6" s="86" t="s">
        <v>59</v>
      </c>
      <c r="G6" s="87">
        <f>$J6*Detalhamento!$J$21</f>
        <v>0</v>
      </c>
      <c r="H6" s="87">
        <f>IF(UPPER($I6)="X",0,$G6)</f>
        <v>0</v>
      </c>
      <c r="I6" s="88"/>
      <c r="J6" s="223">
        <v>0.01</v>
      </c>
    </row>
    <row r="7" spans="2:10" s="41" customFormat="1" ht="12" x14ac:dyDescent="0.2">
      <c r="B7" s="351"/>
      <c r="C7" s="103" t="s">
        <v>64</v>
      </c>
      <c r="D7" s="100" t="s">
        <v>60</v>
      </c>
      <c r="E7" s="85" t="s">
        <v>165</v>
      </c>
      <c r="F7" s="86" t="s">
        <v>59</v>
      </c>
      <c r="G7" s="87">
        <f>$J7*Detalhamento!$J$21</f>
        <v>0</v>
      </c>
      <c r="H7" s="87">
        <f>IF(UPPER($I7)="X",0,$G7)</f>
        <v>0</v>
      </c>
      <c r="I7" s="88"/>
      <c r="J7" s="223">
        <v>0.01</v>
      </c>
    </row>
    <row r="8" spans="2:10" s="41" customFormat="1" ht="12" x14ac:dyDescent="0.2">
      <c r="B8" s="333"/>
      <c r="C8" s="200" t="s">
        <v>65</v>
      </c>
      <c r="D8" s="100" t="s">
        <v>61</v>
      </c>
      <c r="E8" s="85" t="s">
        <v>158</v>
      </c>
      <c r="F8" s="86" t="s">
        <v>59</v>
      </c>
      <c r="G8" s="87">
        <f>$J8*Detalhamento!$J$21</f>
        <v>0</v>
      </c>
      <c r="H8" s="87">
        <f>IF(UPPER($I8)="X",0,$G8)</f>
        <v>0</v>
      </c>
      <c r="I8" s="88"/>
      <c r="J8" s="225">
        <v>0.02</v>
      </c>
    </row>
    <row r="9" spans="2:10" s="41" customFormat="1" ht="12" x14ac:dyDescent="0.2">
      <c r="B9" s="335" t="s">
        <v>3</v>
      </c>
      <c r="C9" s="336" t="s">
        <v>86</v>
      </c>
      <c r="D9" s="101" t="s">
        <v>154</v>
      </c>
      <c r="E9" s="81" t="s">
        <v>34</v>
      </c>
      <c r="F9" s="82" t="s">
        <v>46</v>
      </c>
      <c r="G9" s="83">
        <f>$J9*Detalhamento!$J$21</f>
        <v>0</v>
      </c>
      <c r="H9" s="83">
        <f t="shared" ref="H9:H23" si="0">IF(UPPER($I9)="X",0,$G9)</f>
        <v>0</v>
      </c>
      <c r="I9" s="84" t="s">
        <v>187</v>
      </c>
      <c r="J9" s="224">
        <v>0.01</v>
      </c>
    </row>
    <row r="10" spans="2:10" s="41" customFormat="1" ht="12" customHeight="1" x14ac:dyDescent="0.2">
      <c r="B10" s="352"/>
      <c r="C10" s="336"/>
      <c r="D10" s="101" t="s">
        <v>156</v>
      </c>
      <c r="E10" s="81" t="s">
        <v>174</v>
      </c>
      <c r="F10" s="82" t="s">
        <v>46</v>
      </c>
      <c r="G10" s="83">
        <f>$J10*Detalhamento!$J$21</f>
        <v>0</v>
      </c>
      <c r="H10" s="83">
        <f t="shared" si="0"/>
        <v>0</v>
      </c>
      <c r="I10" s="84" t="s">
        <v>187</v>
      </c>
      <c r="J10" s="224">
        <v>0.01</v>
      </c>
    </row>
    <row r="11" spans="2:10" s="41" customFormat="1" ht="12.75" customHeight="1" x14ac:dyDescent="0.2">
      <c r="B11" s="352"/>
      <c r="C11" s="348" t="s">
        <v>90</v>
      </c>
      <c r="D11" s="101" t="s">
        <v>155</v>
      </c>
      <c r="E11" s="81" t="s">
        <v>159</v>
      </c>
      <c r="F11" s="82" t="s">
        <v>37</v>
      </c>
      <c r="G11" s="83">
        <f>$J11*Detalhamento!$J$21</f>
        <v>0</v>
      </c>
      <c r="H11" s="83">
        <f t="shared" si="0"/>
        <v>0</v>
      </c>
      <c r="I11" s="84" t="s">
        <v>187</v>
      </c>
      <c r="J11" s="224">
        <v>0.02</v>
      </c>
    </row>
    <row r="12" spans="2:10" s="41" customFormat="1" ht="12.75" customHeight="1" x14ac:dyDescent="0.2">
      <c r="B12" s="352"/>
      <c r="C12" s="349"/>
      <c r="D12" s="101" t="s">
        <v>172</v>
      </c>
      <c r="E12" s="81" t="s">
        <v>173</v>
      </c>
      <c r="F12" s="82" t="s">
        <v>37</v>
      </c>
      <c r="G12" s="83">
        <f>$J12*Detalhamento!$J$21</f>
        <v>0</v>
      </c>
      <c r="H12" s="83">
        <f t="shared" si="0"/>
        <v>0</v>
      </c>
      <c r="I12" s="84" t="s">
        <v>187</v>
      </c>
      <c r="J12" s="224">
        <v>0.1</v>
      </c>
    </row>
    <row r="13" spans="2:10" s="41" customFormat="1" ht="12" customHeight="1" x14ac:dyDescent="0.2">
      <c r="B13" s="352"/>
      <c r="C13" s="349"/>
      <c r="D13" s="101" t="s">
        <v>175</v>
      </c>
      <c r="E13" s="81" t="s">
        <v>160</v>
      </c>
      <c r="F13" s="82" t="s">
        <v>37</v>
      </c>
      <c r="G13" s="83">
        <f>$J13*Detalhamento!$J$21</f>
        <v>0</v>
      </c>
      <c r="H13" s="83">
        <f t="shared" si="0"/>
        <v>0</v>
      </c>
      <c r="I13" s="84" t="s">
        <v>187</v>
      </c>
      <c r="J13" s="224">
        <v>0.03</v>
      </c>
    </row>
    <row r="14" spans="2:10" s="41" customFormat="1" ht="12" x14ac:dyDescent="0.2">
      <c r="B14" s="352"/>
      <c r="C14" s="350"/>
      <c r="D14" s="101" t="s">
        <v>151</v>
      </c>
      <c r="E14" s="81" t="s">
        <v>34</v>
      </c>
      <c r="F14" s="82" t="s">
        <v>37</v>
      </c>
      <c r="G14" s="83">
        <f>$J14*Detalhamento!$J$21</f>
        <v>0</v>
      </c>
      <c r="H14" s="83">
        <f t="shared" si="0"/>
        <v>0</v>
      </c>
      <c r="I14" s="84"/>
      <c r="J14" s="224">
        <v>0.01</v>
      </c>
    </row>
    <row r="15" spans="2:10" s="41" customFormat="1" ht="12" x14ac:dyDescent="0.2">
      <c r="B15" s="352"/>
      <c r="C15" s="348" t="s">
        <v>157</v>
      </c>
      <c r="D15" s="101" t="s">
        <v>152</v>
      </c>
      <c r="E15" s="81" t="s">
        <v>160</v>
      </c>
      <c r="F15" s="82" t="s">
        <v>35</v>
      </c>
      <c r="G15" s="83">
        <f>$J15*Detalhamento!$J$21</f>
        <v>0</v>
      </c>
      <c r="H15" s="83">
        <f t="shared" si="0"/>
        <v>0</v>
      </c>
      <c r="I15" s="84" t="s">
        <v>187</v>
      </c>
      <c r="J15" s="224">
        <v>0.01</v>
      </c>
    </row>
    <row r="16" spans="2:10" s="41" customFormat="1" ht="12" x14ac:dyDescent="0.2">
      <c r="B16" s="352"/>
      <c r="C16" s="350"/>
      <c r="D16" s="101" t="s">
        <v>153</v>
      </c>
      <c r="E16" s="81" t="s">
        <v>161</v>
      </c>
      <c r="F16" s="82" t="s">
        <v>35</v>
      </c>
      <c r="G16" s="83">
        <f>$J16*Detalhamento!$J$21</f>
        <v>0</v>
      </c>
      <c r="H16" s="83">
        <f t="shared" si="0"/>
        <v>0</v>
      </c>
      <c r="I16" s="84" t="s">
        <v>187</v>
      </c>
      <c r="J16" s="224">
        <v>0.01</v>
      </c>
    </row>
    <row r="17" spans="2:10" s="41" customFormat="1" ht="12" x14ac:dyDescent="0.2">
      <c r="B17" s="353" t="s">
        <v>4</v>
      </c>
      <c r="C17" s="354" t="s">
        <v>94</v>
      </c>
      <c r="D17" s="100" t="s">
        <v>95</v>
      </c>
      <c r="E17" s="85" t="s">
        <v>34</v>
      </c>
      <c r="F17" s="86" t="s">
        <v>47</v>
      </c>
      <c r="G17" s="231">
        <f>$J17*Detalhamento!$M$21</f>
        <v>0</v>
      </c>
      <c r="H17" s="231">
        <f>IF(UPPER($I17)="X",0,$G17)</f>
        <v>0</v>
      </c>
      <c r="I17" s="88"/>
      <c r="J17" s="225">
        <v>2.5000000000000001E-2</v>
      </c>
    </row>
    <row r="18" spans="2:10" s="41" customFormat="1" ht="12" x14ac:dyDescent="0.2">
      <c r="B18" s="351"/>
      <c r="C18" s="355"/>
      <c r="D18" s="100" t="s">
        <v>149</v>
      </c>
      <c r="E18" s="85" t="s">
        <v>150</v>
      </c>
      <c r="F18" s="86" t="s">
        <v>47</v>
      </c>
      <c r="G18" s="231">
        <f>$J18*Detalhamento!$M$21</f>
        <v>0</v>
      </c>
      <c r="H18" s="231">
        <f t="shared" si="0"/>
        <v>0</v>
      </c>
      <c r="I18" s="88"/>
      <c r="J18" s="225">
        <v>2.5000000000000001E-2</v>
      </c>
    </row>
    <row r="19" spans="2:10" s="41" customFormat="1" ht="12" x14ac:dyDescent="0.2">
      <c r="B19" s="351"/>
      <c r="C19" s="355"/>
      <c r="D19" s="100" t="s">
        <v>96</v>
      </c>
      <c r="E19" s="85" t="s">
        <v>97</v>
      </c>
      <c r="F19" s="86" t="s">
        <v>47</v>
      </c>
      <c r="G19" s="231">
        <f>$J19*Detalhamento!$M$21</f>
        <v>0</v>
      </c>
      <c r="H19" s="231">
        <f t="shared" si="0"/>
        <v>0</v>
      </c>
      <c r="I19" s="88"/>
      <c r="J19" s="225">
        <v>2.5000000000000001E-2</v>
      </c>
    </row>
    <row r="20" spans="2:10" s="41" customFormat="1" ht="12" x14ac:dyDescent="0.2">
      <c r="B20" s="351"/>
      <c r="C20" s="355"/>
      <c r="D20" s="100" t="s">
        <v>98</v>
      </c>
      <c r="E20" s="85" t="s">
        <v>34</v>
      </c>
      <c r="F20" s="86" t="s">
        <v>47</v>
      </c>
      <c r="G20" s="231">
        <f>$J20*Detalhamento!$M$21</f>
        <v>0</v>
      </c>
      <c r="H20" s="231">
        <f t="shared" si="0"/>
        <v>0</v>
      </c>
      <c r="I20" s="88"/>
      <c r="J20" s="225">
        <v>2.5000000000000001E-2</v>
      </c>
    </row>
    <row r="21" spans="2:10" s="41" customFormat="1" ht="12" x14ac:dyDescent="0.2">
      <c r="B21" s="351"/>
      <c r="C21" s="355" t="s">
        <v>6</v>
      </c>
      <c r="D21" s="100" t="s">
        <v>57</v>
      </c>
      <c r="E21" s="85" t="s">
        <v>166</v>
      </c>
      <c r="F21" s="86" t="s">
        <v>35</v>
      </c>
      <c r="G21" s="231">
        <f>$J21*Detalhamento!$M$21</f>
        <v>0</v>
      </c>
      <c r="H21" s="231">
        <f t="shared" si="0"/>
        <v>0</v>
      </c>
      <c r="I21" s="88"/>
      <c r="J21" s="225">
        <v>0.8</v>
      </c>
    </row>
    <row r="22" spans="2:10" s="41" customFormat="1" ht="12.75" customHeight="1" x14ac:dyDescent="0.2">
      <c r="B22" s="351"/>
      <c r="C22" s="355"/>
      <c r="D22" s="100" t="s">
        <v>170</v>
      </c>
      <c r="E22" s="85" t="s">
        <v>91</v>
      </c>
      <c r="F22" s="86" t="s">
        <v>35</v>
      </c>
      <c r="G22" s="231">
        <f>$J22*Detalhamento!$M$21</f>
        <v>0</v>
      </c>
      <c r="H22" s="231">
        <f t="shared" si="0"/>
        <v>0</v>
      </c>
      <c r="I22" s="88"/>
      <c r="J22" s="225">
        <v>0.05</v>
      </c>
    </row>
    <row r="23" spans="2:10" s="41" customFormat="1" ht="12.75" customHeight="1" x14ac:dyDescent="0.2">
      <c r="B23" s="351"/>
      <c r="C23" s="355" t="s">
        <v>92</v>
      </c>
      <c r="D23" s="100" t="s">
        <v>93</v>
      </c>
      <c r="E23" s="85" t="s">
        <v>34</v>
      </c>
      <c r="F23" s="86" t="s">
        <v>35</v>
      </c>
      <c r="G23" s="231">
        <f>$J23*Detalhamento!$M$21</f>
        <v>0</v>
      </c>
      <c r="H23" s="231">
        <f t="shared" si="0"/>
        <v>0</v>
      </c>
      <c r="I23" s="88"/>
      <c r="J23" s="225">
        <v>0.02</v>
      </c>
    </row>
    <row r="24" spans="2:10" s="41" customFormat="1" ht="13.5" customHeight="1" x14ac:dyDescent="0.2">
      <c r="B24" s="351"/>
      <c r="C24" s="355"/>
      <c r="D24" s="100" t="s">
        <v>171</v>
      </c>
      <c r="E24" s="85" t="s">
        <v>34</v>
      </c>
      <c r="F24" s="86" t="s">
        <v>35</v>
      </c>
      <c r="G24" s="231">
        <f>$J24*Detalhamento!$M$21</f>
        <v>0</v>
      </c>
      <c r="H24" s="231">
        <f>IF(UPPER($I24)="X",0,$G24)</f>
        <v>0</v>
      </c>
      <c r="I24" s="88"/>
      <c r="J24" s="225">
        <v>0.03</v>
      </c>
    </row>
    <row r="25" spans="2:10" s="41" customFormat="1" ht="12.75" customHeight="1" x14ac:dyDescent="0.2">
      <c r="B25" s="335" t="s">
        <v>5</v>
      </c>
      <c r="C25" s="336" t="s">
        <v>94</v>
      </c>
      <c r="D25" s="101" t="s">
        <v>98</v>
      </c>
      <c r="E25" s="81" t="s">
        <v>34</v>
      </c>
      <c r="F25" s="82" t="s">
        <v>35</v>
      </c>
      <c r="G25" s="83">
        <f>$J25*Detalhamento!$J$21</f>
        <v>0</v>
      </c>
      <c r="H25" s="83">
        <f t="shared" ref="H25:H32" si="1">IF(UPPER($I25)="X",0,$G25)</f>
        <v>0</v>
      </c>
      <c r="I25" s="84"/>
      <c r="J25" s="224">
        <v>2E-3</v>
      </c>
    </row>
    <row r="26" spans="2:10" s="41" customFormat="1" ht="12.75" customHeight="1" x14ac:dyDescent="0.2">
      <c r="B26" s="335"/>
      <c r="C26" s="336"/>
      <c r="D26" s="101" t="s">
        <v>99</v>
      </c>
      <c r="E26" s="81" t="s">
        <v>184</v>
      </c>
      <c r="F26" s="82" t="s">
        <v>48</v>
      </c>
      <c r="G26" s="83">
        <f>$J26*Detalhamento!$J$21</f>
        <v>0</v>
      </c>
      <c r="H26" s="83">
        <f t="shared" si="1"/>
        <v>0</v>
      </c>
      <c r="I26" s="84"/>
      <c r="J26" s="224">
        <v>0.01</v>
      </c>
    </row>
    <row r="27" spans="2:10" s="41" customFormat="1" ht="13.5" customHeight="1" x14ac:dyDescent="0.2">
      <c r="B27" s="335"/>
      <c r="C27" s="336"/>
      <c r="D27" s="101" t="s">
        <v>182</v>
      </c>
      <c r="E27" s="81" t="s">
        <v>183</v>
      </c>
      <c r="F27" s="82" t="s">
        <v>48</v>
      </c>
      <c r="G27" s="83">
        <f>$J27*Detalhamento!$J$21</f>
        <v>0</v>
      </c>
      <c r="H27" s="83">
        <f t="shared" si="1"/>
        <v>0</v>
      </c>
      <c r="I27" s="84"/>
      <c r="J27" s="224">
        <v>0.01</v>
      </c>
    </row>
    <row r="28" spans="2:10" s="41" customFormat="1" ht="12.75" customHeight="1" x14ac:dyDescent="0.2">
      <c r="B28" s="335"/>
      <c r="C28" s="336" t="s">
        <v>7</v>
      </c>
      <c r="D28" s="101" t="s">
        <v>100</v>
      </c>
      <c r="E28" s="81" t="s">
        <v>185</v>
      </c>
      <c r="F28" s="82" t="s">
        <v>77</v>
      </c>
      <c r="G28" s="83">
        <f>$J28*Detalhamento!$J$21</f>
        <v>0</v>
      </c>
      <c r="H28" s="83">
        <f t="shared" si="1"/>
        <v>0</v>
      </c>
      <c r="I28" s="84"/>
      <c r="J28" s="224">
        <v>0.5</v>
      </c>
    </row>
    <row r="29" spans="2:10" s="41" customFormat="1" ht="12.75" customHeight="1" x14ac:dyDescent="0.2">
      <c r="B29" s="335"/>
      <c r="C29" s="336"/>
      <c r="D29" s="101" t="s">
        <v>102</v>
      </c>
      <c r="E29" s="81" t="s">
        <v>103</v>
      </c>
      <c r="F29" s="82" t="s">
        <v>77</v>
      </c>
      <c r="G29" s="83">
        <f>$J29*Detalhamento!$J$21</f>
        <v>0</v>
      </c>
      <c r="H29" s="83">
        <f t="shared" si="1"/>
        <v>0</v>
      </c>
      <c r="I29" s="84"/>
      <c r="J29" s="224">
        <v>0.1</v>
      </c>
    </row>
    <row r="30" spans="2:10" s="41" customFormat="1" ht="12.75" customHeight="1" x14ac:dyDescent="0.2">
      <c r="B30" s="335"/>
      <c r="C30" s="336"/>
      <c r="D30" s="101" t="s">
        <v>104</v>
      </c>
      <c r="E30" s="81" t="s">
        <v>101</v>
      </c>
      <c r="F30" s="82" t="s">
        <v>77</v>
      </c>
      <c r="G30" s="83">
        <f>$J30*Detalhamento!$J$21</f>
        <v>0</v>
      </c>
      <c r="H30" s="83">
        <f t="shared" si="1"/>
        <v>0</v>
      </c>
      <c r="I30" s="84"/>
      <c r="J30" s="224">
        <v>0.1</v>
      </c>
    </row>
    <row r="31" spans="2:10" s="41" customFormat="1" ht="12.75" customHeight="1" x14ac:dyDescent="0.2">
      <c r="B31" s="335"/>
      <c r="C31" s="336"/>
      <c r="D31" s="101" t="s">
        <v>105</v>
      </c>
      <c r="E31" s="81" t="s">
        <v>91</v>
      </c>
      <c r="F31" s="82" t="s">
        <v>77</v>
      </c>
      <c r="G31" s="83">
        <f>$J31*Detalhamento!$J$21</f>
        <v>0</v>
      </c>
      <c r="H31" s="83">
        <f t="shared" si="1"/>
        <v>0</v>
      </c>
      <c r="I31" s="84"/>
      <c r="J31" s="224">
        <v>0.1</v>
      </c>
    </row>
    <row r="32" spans="2:10" s="41" customFormat="1" ht="12" customHeight="1" x14ac:dyDescent="0.2">
      <c r="B32" s="335"/>
      <c r="C32" s="336" t="s">
        <v>92</v>
      </c>
      <c r="D32" s="101" t="s">
        <v>93</v>
      </c>
      <c r="E32" s="81" t="s">
        <v>34</v>
      </c>
      <c r="F32" s="82" t="s">
        <v>77</v>
      </c>
      <c r="G32" s="83">
        <f>$J32*Detalhamento!$J$21</f>
        <v>0</v>
      </c>
      <c r="H32" s="83">
        <f t="shared" si="1"/>
        <v>0</v>
      </c>
      <c r="I32" s="84"/>
      <c r="J32" s="224">
        <v>0.01</v>
      </c>
    </row>
    <row r="33" spans="2:17" s="41" customFormat="1" ht="12" customHeight="1" x14ac:dyDescent="0.2">
      <c r="B33" s="335"/>
      <c r="C33" s="336"/>
      <c r="D33" s="101" t="s">
        <v>106</v>
      </c>
      <c r="E33" s="81" t="s">
        <v>34</v>
      </c>
      <c r="F33" s="82" t="s">
        <v>77</v>
      </c>
      <c r="G33" s="83">
        <f>$J33*Detalhamento!$J$21</f>
        <v>0</v>
      </c>
      <c r="H33" s="83">
        <f>IF(UPPER($I33)="X",0,$G33)</f>
        <v>0</v>
      </c>
      <c r="I33" s="84"/>
      <c r="J33" s="224">
        <v>0.01</v>
      </c>
    </row>
    <row r="34" spans="2:17" s="41" customFormat="1" ht="13.5" customHeight="1" x14ac:dyDescent="0.2">
      <c r="B34" s="333" t="s">
        <v>8</v>
      </c>
      <c r="C34" s="207" t="s">
        <v>107</v>
      </c>
      <c r="D34" s="100" t="s">
        <v>108</v>
      </c>
      <c r="E34" s="85" t="s">
        <v>167</v>
      </c>
      <c r="F34" s="86" t="s">
        <v>52</v>
      </c>
      <c r="G34" s="87">
        <f>$J34*Detalhamento!$J$21</f>
        <v>0</v>
      </c>
      <c r="H34" s="87">
        <f t="shared" ref="H34:H42" si="2">IF(UPPER($I34)="X",0,$G34)</f>
        <v>0</v>
      </c>
      <c r="I34" s="88"/>
      <c r="J34" s="225">
        <v>0.05</v>
      </c>
    </row>
    <row r="35" spans="2:17" s="41" customFormat="1" ht="13.5" customHeight="1" x14ac:dyDescent="0.2">
      <c r="B35" s="334"/>
      <c r="C35" s="207" t="s">
        <v>168</v>
      </c>
      <c r="D35" s="100" t="s">
        <v>169</v>
      </c>
      <c r="E35" s="85" t="s">
        <v>167</v>
      </c>
      <c r="F35" s="86" t="s">
        <v>52</v>
      </c>
      <c r="G35" s="87">
        <f>$J35*Detalhamento!$J$21</f>
        <v>0</v>
      </c>
      <c r="H35" s="87">
        <f t="shared" si="2"/>
        <v>0</v>
      </c>
      <c r="I35" s="88"/>
      <c r="J35" s="225">
        <v>0.05</v>
      </c>
    </row>
    <row r="36" spans="2:17" s="41" customFormat="1" ht="12.75" customHeight="1" x14ac:dyDescent="0.2">
      <c r="B36" s="335" t="s">
        <v>9</v>
      </c>
      <c r="C36" s="336" t="s">
        <v>92</v>
      </c>
      <c r="D36" s="101" t="s">
        <v>109</v>
      </c>
      <c r="E36" s="81" t="s">
        <v>34</v>
      </c>
      <c r="F36" s="82" t="s">
        <v>49</v>
      </c>
      <c r="G36" s="83">
        <f>$J36*Detalhamento!$J$21</f>
        <v>0</v>
      </c>
      <c r="H36" s="83">
        <f t="shared" si="2"/>
        <v>0</v>
      </c>
      <c r="I36" s="84"/>
      <c r="J36" s="224">
        <v>0.01</v>
      </c>
    </row>
    <row r="37" spans="2:17" s="41" customFormat="1" ht="12.75" customHeight="1" x14ac:dyDescent="0.2">
      <c r="B37" s="335"/>
      <c r="C37" s="336"/>
      <c r="D37" s="101" t="s">
        <v>110</v>
      </c>
      <c r="E37" s="81" t="s">
        <v>34</v>
      </c>
      <c r="F37" s="82" t="s">
        <v>49</v>
      </c>
      <c r="G37" s="83">
        <f>$J37*Detalhamento!$J$21</f>
        <v>0</v>
      </c>
      <c r="H37" s="83">
        <f t="shared" si="2"/>
        <v>0</v>
      </c>
      <c r="I37" s="84" t="s">
        <v>187</v>
      </c>
      <c r="J37" s="224">
        <v>4.0000000000000001E-3</v>
      </c>
    </row>
    <row r="38" spans="2:17" s="41" customFormat="1" ht="12" customHeight="1" x14ac:dyDescent="0.2">
      <c r="B38" s="335"/>
      <c r="C38" s="336"/>
      <c r="D38" s="101" t="s">
        <v>111</v>
      </c>
      <c r="E38" s="81" t="s">
        <v>34</v>
      </c>
      <c r="F38" s="82" t="s">
        <v>49</v>
      </c>
      <c r="G38" s="83">
        <f>$J38*Detalhamento!$J$21</f>
        <v>0</v>
      </c>
      <c r="H38" s="83">
        <f t="shared" si="2"/>
        <v>0</v>
      </c>
      <c r="I38" s="84" t="s">
        <v>187</v>
      </c>
      <c r="J38" s="224">
        <v>4.0000000000000001E-3</v>
      </c>
    </row>
    <row r="39" spans="2:17" s="41" customFormat="1" ht="12" customHeight="1" x14ac:dyDescent="0.2">
      <c r="B39" s="335"/>
      <c r="C39" s="336" t="s">
        <v>188</v>
      </c>
      <c r="D39" s="101" t="s">
        <v>112</v>
      </c>
      <c r="E39" s="81" t="s">
        <v>113</v>
      </c>
      <c r="F39" s="82" t="s">
        <v>49</v>
      </c>
      <c r="G39" s="83">
        <f>$J39*Detalhamento!$J$21</f>
        <v>0</v>
      </c>
      <c r="H39" s="83">
        <f t="shared" si="2"/>
        <v>0</v>
      </c>
      <c r="I39" s="84"/>
      <c r="J39" s="224">
        <v>0.01</v>
      </c>
    </row>
    <row r="40" spans="2:17" s="41" customFormat="1" ht="12" customHeight="1" x14ac:dyDescent="0.2">
      <c r="B40" s="335"/>
      <c r="C40" s="336"/>
      <c r="D40" s="101" t="s">
        <v>58</v>
      </c>
      <c r="E40" s="81" t="s">
        <v>114</v>
      </c>
      <c r="F40" s="82" t="s">
        <v>49</v>
      </c>
      <c r="G40" s="83">
        <f>$J40*Detalhamento!$J$21</f>
        <v>0</v>
      </c>
      <c r="H40" s="83">
        <f t="shared" si="2"/>
        <v>0</v>
      </c>
      <c r="I40" s="84"/>
      <c r="J40" s="224">
        <v>0.01</v>
      </c>
    </row>
    <row r="41" spans="2:17" s="41" customFormat="1" ht="12" customHeight="1" x14ac:dyDescent="0.2">
      <c r="B41" s="335"/>
      <c r="C41" s="336" t="s">
        <v>10</v>
      </c>
      <c r="D41" s="101" t="s">
        <v>115</v>
      </c>
      <c r="E41" s="81" t="s">
        <v>116</v>
      </c>
      <c r="F41" s="82" t="s">
        <v>49</v>
      </c>
      <c r="G41" s="83">
        <f>$J41*Detalhamento!$J$21</f>
        <v>0</v>
      </c>
      <c r="H41" s="83">
        <f t="shared" si="2"/>
        <v>0</v>
      </c>
      <c r="I41" s="84"/>
      <c r="J41" s="224">
        <v>0.05</v>
      </c>
    </row>
    <row r="42" spans="2:17" s="41" customFormat="1" ht="12.75" thickBot="1" x14ac:dyDescent="0.25">
      <c r="B42" s="337"/>
      <c r="C42" s="338"/>
      <c r="D42" s="102" t="s">
        <v>117</v>
      </c>
      <c r="E42" s="91" t="s">
        <v>186</v>
      </c>
      <c r="F42" s="92" t="s">
        <v>49</v>
      </c>
      <c r="G42" s="93">
        <f>$J42*Detalhamento!$J$21</f>
        <v>0</v>
      </c>
      <c r="H42" s="93">
        <f t="shared" si="2"/>
        <v>0</v>
      </c>
      <c r="I42" s="94"/>
      <c r="J42" s="226">
        <v>3.7999999999999999E-2</v>
      </c>
    </row>
    <row r="43" spans="2:17" s="41" customFormat="1" ht="12" x14ac:dyDescent="0.2">
      <c r="B43" s="50"/>
      <c r="C43" s="50"/>
      <c r="D43" s="50"/>
      <c r="E43" s="50"/>
      <c r="F43" s="52"/>
      <c r="G43" s="51"/>
      <c r="H43" s="51"/>
      <c r="I43" s="52"/>
      <c r="J43" s="53"/>
    </row>
    <row r="44" spans="2:17" s="41" customFormat="1" ht="12" x14ac:dyDescent="0.2">
      <c r="H44" s="51"/>
      <c r="I44" s="52"/>
      <c r="J44" s="53"/>
    </row>
    <row r="45" spans="2:17" s="41" customFormat="1" ht="12" x14ac:dyDescent="0.2">
      <c r="H45" s="51"/>
      <c r="I45" s="52"/>
      <c r="J45" s="53"/>
    </row>
    <row r="46" spans="2:17" s="6" customFormat="1" x14ac:dyDescent="0.25">
      <c r="H46" s="40"/>
      <c r="I46" s="41"/>
      <c r="J46" s="40"/>
    </row>
    <row r="47" spans="2:17" s="41" customFormat="1" ht="15" customHeight="1" x14ac:dyDescent="0.2">
      <c r="H47" s="62"/>
      <c r="I47" s="60"/>
      <c r="J47" s="51"/>
      <c r="K47" s="12"/>
      <c r="L47" s="12"/>
      <c r="M47" s="12"/>
      <c r="N47" s="12"/>
      <c r="O47" s="12"/>
      <c r="P47" s="12"/>
      <c r="Q47" s="12"/>
    </row>
    <row r="48" spans="2:17" s="12" customFormat="1" ht="12" x14ac:dyDescent="0.2">
      <c r="H48" s="60"/>
      <c r="I48" s="60"/>
      <c r="J48" s="76"/>
      <c r="K48" s="41"/>
      <c r="L48" s="41"/>
      <c r="M48" s="41"/>
      <c r="N48" s="41"/>
      <c r="O48" s="41"/>
      <c r="P48" s="41"/>
      <c r="Q48" s="41"/>
    </row>
    <row r="49" spans="8:17" s="12" customFormat="1" ht="12" x14ac:dyDescent="0.2">
      <c r="H49" s="60"/>
      <c r="I49" s="60"/>
      <c r="J49" s="76"/>
      <c r="K49" s="41"/>
      <c r="L49" s="41"/>
      <c r="M49" s="41"/>
      <c r="N49" s="41"/>
      <c r="O49" s="41"/>
      <c r="P49" s="41"/>
      <c r="Q49" s="41"/>
    </row>
    <row r="50" spans="8:17" s="12" customFormat="1" ht="12" x14ac:dyDescent="0.2">
      <c r="H50" s="60"/>
      <c r="I50" s="60"/>
      <c r="J50" s="76"/>
      <c r="K50" s="41"/>
      <c r="L50" s="41"/>
      <c r="M50" s="41"/>
      <c r="N50" s="41"/>
      <c r="O50" s="41"/>
      <c r="P50" s="41"/>
      <c r="Q50" s="41"/>
    </row>
    <row r="51" spans="8:17" s="12" customFormat="1" ht="12" x14ac:dyDescent="0.2">
      <c r="H51" s="60"/>
      <c r="I51" s="60"/>
      <c r="J51" s="76"/>
      <c r="K51" s="41"/>
      <c r="L51" s="41"/>
      <c r="M51" s="41"/>
      <c r="N51" s="41"/>
      <c r="O51" s="41"/>
      <c r="P51" s="41"/>
      <c r="Q51" s="41"/>
    </row>
    <row r="52" spans="8:17" s="41" customFormat="1" ht="12" x14ac:dyDescent="0.2">
      <c r="H52" s="39"/>
      <c r="I52" s="60"/>
      <c r="J52" s="51"/>
    </row>
    <row r="53" spans="8:17" s="41" customFormat="1" ht="12" x14ac:dyDescent="0.2">
      <c r="H53" s="39"/>
      <c r="I53" s="60"/>
      <c r="J53" s="51"/>
    </row>
    <row r="54" spans="8:17" s="41" customFormat="1" ht="12" x14ac:dyDescent="0.2">
      <c r="H54" s="39"/>
      <c r="I54" s="60"/>
      <c r="J54" s="51"/>
    </row>
    <row r="55" spans="8:17" s="41" customFormat="1" ht="12" x14ac:dyDescent="0.2">
      <c r="H55" s="39"/>
      <c r="I55" s="60"/>
      <c r="J55" s="51"/>
      <c r="K55" s="12"/>
      <c r="L55" s="12"/>
      <c r="M55" s="12"/>
      <c r="N55" s="12"/>
      <c r="O55" s="12"/>
      <c r="P55" s="12"/>
      <c r="Q55" s="12"/>
    </row>
    <row r="56" spans="8:17" s="41" customFormat="1" ht="12" x14ac:dyDescent="0.2">
      <c r="H56" s="39"/>
      <c r="I56" s="60"/>
      <c r="J56" s="51"/>
      <c r="K56" s="12"/>
      <c r="L56" s="12"/>
      <c r="M56" s="12"/>
      <c r="N56" s="12"/>
      <c r="O56" s="12"/>
      <c r="P56" s="12"/>
      <c r="Q56" s="12"/>
    </row>
    <row r="57" spans="8:17" s="41" customFormat="1" ht="12" x14ac:dyDescent="0.2">
      <c r="H57" s="39"/>
      <c r="I57" s="60"/>
      <c r="J57" s="51"/>
      <c r="K57" s="12"/>
      <c r="L57" s="12"/>
      <c r="M57" s="12"/>
      <c r="N57" s="12"/>
      <c r="O57" s="12"/>
      <c r="P57" s="12"/>
      <c r="Q57" s="12"/>
    </row>
    <row r="58" spans="8:17" s="12" customFormat="1" ht="12" x14ac:dyDescent="0.2">
      <c r="H58" s="60"/>
      <c r="I58" s="39"/>
      <c r="J58" s="76"/>
      <c r="K58" s="41"/>
      <c r="L58" s="41"/>
      <c r="M58" s="41"/>
      <c r="N58" s="41"/>
      <c r="O58" s="41"/>
      <c r="P58" s="41"/>
      <c r="Q58" s="41"/>
    </row>
    <row r="59" spans="8:17" s="12" customFormat="1" ht="12" x14ac:dyDescent="0.2">
      <c r="H59" s="60"/>
      <c r="I59" s="39"/>
      <c r="J59" s="76"/>
      <c r="K59" s="41"/>
      <c r="L59" s="41"/>
      <c r="M59" s="41"/>
      <c r="N59" s="41"/>
      <c r="O59" s="41"/>
      <c r="P59" s="41"/>
      <c r="Q59" s="41"/>
    </row>
    <row r="60" spans="8:17" s="41" customFormat="1" ht="12" x14ac:dyDescent="0.2">
      <c r="H60" s="38"/>
      <c r="I60" s="39"/>
      <c r="J60" s="51"/>
    </row>
    <row r="61" spans="8:17" s="41" customFormat="1" ht="12" x14ac:dyDescent="0.2">
      <c r="H61" s="62"/>
      <c r="I61" s="60"/>
      <c r="J61" s="40"/>
    </row>
    <row r="62" spans="8:17" s="41" customFormat="1" ht="12" x14ac:dyDescent="0.2">
      <c r="H62" s="62"/>
      <c r="I62" s="60"/>
      <c r="J62" s="40"/>
    </row>
    <row r="63" spans="8:17" s="6" customFormat="1" x14ac:dyDescent="0.25">
      <c r="H63" s="40"/>
      <c r="I63" s="41"/>
      <c r="J63" s="40"/>
      <c r="K63" s="12"/>
      <c r="L63" s="159"/>
      <c r="M63" s="159"/>
      <c r="N63" s="12"/>
      <c r="O63" s="12"/>
      <c r="P63" s="12"/>
      <c r="Q63" s="12"/>
    </row>
    <row r="64" spans="8:17" s="12" customFormat="1" x14ac:dyDescent="0.25">
      <c r="H64" s="6"/>
      <c r="I64" s="6"/>
      <c r="J64" s="6"/>
      <c r="K64" s="6"/>
      <c r="L64" s="160"/>
      <c r="M64" s="161"/>
    </row>
    <row r="65" spans="8:14" s="6" customFormat="1" x14ac:dyDescent="0.25">
      <c r="L65" s="162"/>
      <c r="M65" s="163"/>
    </row>
    <row r="66" spans="8:14" s="6" customFormat="1" x14ac:dyDescent="0.25">
      <c r="L66" s="162"/>
      <c r="M66" s="163"/>
    </row>
    <row r="67" spans="8:14" s="6" customFormat="1" x14ac:dyDescent="0.25">
      <c r="L67" s="162"/>
      <c r="M67" s="163"/>
    </row>
    <row r="68" spans="8:14" s="6" customFormat="1" x14ac:dyDescent="0.25">
      <c r="L68" s="162"/>
      <c r="M68" s="163"/>
    </row>
    <row r="69" spans="8:14" s="6" customFormat="1" x14ac:dyDescent="0.25">
      <c r="H69" s="11"/>
      <c r="I69" s="11"/>
      <c r="J69" s="11"/>
      <c r="K69" s="11"/>
      <c r="L69" s="162"/>
      <c r="M69" s="163"/>
    </row>
    <row r="70" spans="8:14" s="6" customFormat="1" x14ac:dyDescent="0.25">
      <c r="H70" s="11"/>
      <c r="I70" s="11"/>
      <c r="J70" s="11"/>
      <c r="K70" s="11"/>
      <c r="L70" s="162"/>
      <c r="M70" s="163"/>
      <c r="N70" s="79"/>
    </row>
    <row r="71" spans="8:14" s="11" customFormat="1" x14ac:dyDescent="0.25">
      <c r="H71" s="6"/>
      <c r="I71" s="6"/>
      <c r="J71" s="6"/>
      <c r="K71" s="6"/>
      <c r="L71" s="160"/>
      <c r="M71" s="163"/>
    </row>
    <row r="72" spans="8:14" s="11" customFormat="1" x14ac:dyDescent="0.25">
      <c r="H72" s="6"/>
      <c r="I72" s="6"/>
      <c r="J72" s="6"/>
      <c r="K72" s="6"/>
    </row>
    <row r="73" spans="8:14" s="41" customFormat="1" ht="12" x14ac:dyDescent="0.2"/>
    <row r="74" spans="8:14" s="41" customFormat="1" ht="12" x14ac:dyDescent="0.2"/>
    <row r="75" spans="8:14" s="41" customFormat="1" ht="12" x14ac:dyDescent="0.2"/>
    <row r="76" spans="8:14" s="41" customFormat="1" ht="12" x14ac:dyDescent="0.2"/>
    <row r="77" spans="8:14" s="41" customFormat="1" ht="12" x14ac:dyDescent="0.2"/>
    <row r="78" spans="8:14" x14ac:dyDescent="0.25">
      <c r="H78"/>
      <c r="I78"/>
      <c r="J78"/>
    </row>
    <row r="79" spans="8:14" x14ac:dyDescent="0.25">
      <c r="H79"/>
      <c r="I79"/>
      <c r="J79"/>
    </row>
    <row r="80" spans="8:14" x14ac:dyDescent="0.25">
      <c r="H80"/>
      <c r="I80"/>
      <c r="J80"/>
    </row>
    <row r="81" spans="1:10" x14ac:dyDescent="0.25">
      <c r="H81"/>
      <c r="I81"/>
      <c r="J81"/>
    </row>
    <row r="82" spans="1:10" ht="12.75" x14ac:dyDescent="0.2">
      <c r="A82" s="43"/>
      <c r="B82" s="54"/>
      <c r="C82" s="50"/>
      <c r="D82" s="54"/>
      <c r="E82" s="50"/>
      <c r="F82"/>
      <c r="G82"/>
      <c r="H82"/>
      <c r="I82"/>
      <c r="J82"/>
    </row>
    <row r="83" spans="1:10" x14ac:dyDescent="0.25">
      <c r="A83" s="41"/>
      <c r="B83" s="41"/>
      <c r="C83" s="41"/>
      <c r="D83" s="41"/>
      <c r="E83" s="41"/>
      <c r="F83"/>
      <c r="G83" s="40"/>
      <c r="H83" s="40"/>
      <c r="I83" s="41"/>
    </row>
    <row r="84" spans="1:10" x14ac:dyDescent="0.25">
      <c r="A84" s="41"/>
      <c r="B84" s="41"/>
      <c r="C84" s="41"/>
      <c r="D84" s="41"/>
      <c r="E84" s="41"/>
      <c r="F84"/>
      <c r="G84" s="40"/>
      <c r="H84" s="40"/>
      <c r="I84" s="41"/>
    </row>
    <row r="85" spans="1:10" x14ac:dyDescent="0.25">
      <c r="A85" s="41"/>
      <c r="B85" s="41"/>
      <c r="C85" s="41"/>
      <c r="D85" s="41"/>
      <c r="E85" s="41"/>
      <c r="F85"/>
      <c r="G85" s="40"/>
      <c r="H85" s="40"/>
      <c r="I85" s="41"/>
    </row>
    <row r="86" spans="1:10" x14ac:dyDescent="0.25">
      <c r="A86" s="41"/>
      <c r="B86" s="41"/>
      <c r="C86" s="41"/>
      <c r="D86" s="41"/>
      <c r="E86" s="41"/>
      <c r="F86"/>
      <c r="G86" s="40"/>
      <c r="H86" s="40"/>
      <c r="I86" s="41"/>
    </row>
    <row r="87" spans="1:10" x14ac:dyDescent="0.25">
      <c r="A87" s="41"/>
      <c r="B87" s="41"/>
      <c r="C87" s="41"/>
      <c r="D87" s="41"/>
      <c r="E87" s="41"/>
      <c r="F87"/>
      <c r="G87" s="40"/>
      <c r="H87" s="40"/>
      <c r="I87" s="41"/>
    </row>
    <row r="88" spans="1:10" x14ac:dyDescent="0.25">
      <c r="A88" s="41"/>
      <c r="B88" s="41"/>
      <c r="C88" s="41"/>
      <c r="D88" s="41"/>
      <c r="E88" s="41"/>
      <c r="F88"/>
      <c r="G88" s="40"/>
      <c r="H88" s="40"/>
      <c r="I88" s="41"/>
    </row>
    <row r="89" spans="1:10" x14ac:dyDescent="0.25">
      <c r="A89" s="41"/>
      <c r="B89" s="41"/>
      <c r="C89" s="41"/>
      <c r="D89" s="41"/>
      <c r="E89" s="41"/>
      <c r="F89"/>
      <c r="G89" s="40"/>
      <c r="H89" s="40"/>
      <c r="I89" s="41"/>
    </row>
    <row r="90" spans="1:10" x14ac:dyDescent="0.25">
      <c r="A90" s="41"/>
      <c r="B90" s="41"/>
      <c r="C90" s="41"/>
      <c r="D90" s="41"/>
      <c r="E90" s="41"/>
      <c r="F90"/>
      <c r="G90" s="40"/>
      <c r="H90" s="40"/>
      <c r="I90" s="41"/>
    </row>
    <row r="91" spans="1:10" x14ac:dyDescent="0.25">
      <c r="A91" s="41"/>
      <c r="B91" s="41"/>
      <c r="C91" s="41"/>
      <c r="D91" s="41"/>
      <c r="E91" s="41"/>
      <c r="F91" s="41"/>
      <c r="G91" s="40"/>
      <c r="H91" s="40"/>
      <c r="I91" s="41"/>
    </row>
  </sheetData>
  <mergeCells count="21">
    <mergeCell ref="B36:B42"/>
    <mergeCell ref="C36:C38"/>
    <mergeCell ref="C39:C40"/>
    <mergeCell ref="C41:C42"/>
    <mergeCell ref="E2:J3"/>
    <mergeCell ref="D2:D3"/>
    <mergeCell ref="B2:C3"/>
    <mergeCell ref="C11:C14"/>
    <mergeCell ref="C15:C16"/>
    <mergeCell ref="B5:B8"/>
    <mergeCell ref="B9:B16"/>
    <mergeCell ref="C9:C10"/>
    <mergeCell ref="B17:B24"/>
    <mergeCell ref="C17:C20"/>
    <mergeCell ref="C21:C22"/>
    <mergeCell ref="C23:C24"/>
    <mergeCell ref="B34:B35"/>
    <mergeCell ref="B25:B33"/>
    <mergeCell ref="C25:C27"/>
    <mergeCell ref="C28:C31"/>
    <mergeCell ref="C32:C33"/>
  </mergeCells>
  <phoneticPr fontId="2" type="noConversion"/>
  <conditionalFormatting sqref="I25:I31 I42 I19:I22 I13:I17 I5:I10">
    <cfRule type="cellIs" dxfId="11" priority="23" stopIfTrue="1" operator="equal">
      <formula>"x"</formula>
    </cfRule>
  </conditionalFormatting>
  <conditionalFormatting sqref="I23:I24">
    <cfRule type="cellIs" dxfId="10" priority="22" stopIfTrue="1" operator="equal">
      <formula>"x"</formula>
    </cfRule>
  </conditionalFormatting>
  <conditionalFormatting sqref="I32:I33">
    <cfRule type="cellIs" dxfId="9" priority="21" stopIfTrue="1" operator="equal">
      <formula>"x"</formula>
    </cfRule>
  </conditionalFormatting>
  <conditionalFormatting sqref="I35">
    <cfRule type="cellIs" dxfId="8" priority="16" stopIfTrue="1" operator="equal">
      <formula>"x"</formula>
    </cfRule>
  </conditionalFormatting>
  <conditionalFormatting sqref="I38">
    <cfRule type="cellIs" dxfId="7" priority="11" stopIfTrue="1" operator="equal">
      <formula>"x"</formula>
    </cfRule>
  </conditionalFormatting>
  <conditionalFormatting sqref="I36:I37">
    <cfRule type="cellIs" dxfId="6" priority="10" stopIfTrue="1" operator="equal">
      <formula>"x"</formula>
    </cfRule>
  </conditionalFormatting>
  <conditionalFormatting sqref="I39">
    <cfRule type="cellIs" dxfId="5" priority="9" stopIfTrue="1" operator="equal">
      <formula>"x"</formula>
    </cfRule>
  </conditionalFormatting>
  <conditionalFormatting sqref="I40:I41">
    <cfRule type="cellIs" dxfId="4" priority="8" stopIfTrue="1" operator="equal">
      <formula>"x"</formula>
    </cfRule>
  </conditionalFormatting>
  <conditionalFormatting sqref="I12">
    <cfRule type="cellIs" dxfId="3" priority="5" stopIfTrue="1" operator="equal">
      <formula>"x"</formula>
    </cfRule>
  </conditionalFormatting>
  <conditionalFormatting sqref="I18">
    <cfRule type="cellIs" dxfId="2" priority="3" stopIfTrue="1" operator="equal">
      <formula>"x"</formula>
    </cfRule>
  </conditionalFormatting>
  <conditionalFormatting sqref="I11">
    <cfRule type="cellIs" dxfId="1" priority="2" stopIfTrue="1" operator="equal">
      <formula>"x"</formula>
    </cfRule>
  </conditionalFormatting>
  <conditionalFormatting sqref="I34">
    <cfRule type="cellIs" dxfId="0" priority="1" stopIfTrue="1" operator="equal">
      <formula>"x"</formula>
    </cfRule>
  </conditionalFormatting>
  <pageMargins left="0.78740157499999996" right="0.78740157499999996" top="0.984251969" bottom="0.984251969" header="0.5" footer="0.5"/>
  <pageSetup orientation="portrait" horizontalDpi="200" verticalDpi="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FFFF00"/>
  </sheetPr>
  <dimension ref="A1:H2254"/>
  <sheetViews>
    <sheetView tabSelected="1" topLeftCell="A1579" workbookViewId="0">
      <selection activeCell="A2253" sqref="A2253"/>
    </sheetView>
  </sheetViews>
  <sheetFormatPr defaultColWidth="0" defaultRowHeight="12.75" x14ac:dyDescent="0.2"/>
  <cols>
    <col min="1" max="1" width="69.42578125" bestFit="1" customWidth="1"/>
    <col min="2" max="2" width="17.42578125" bestFit="1" customWidth="1"/>
    <col min="3" max="3" width="43" bestFit="1" customWidth="1"/>
    <col min="4" max="4" width="9.140625" customWidth="1"/>
    <col min="5" max="5" width="29.5703125" bestFit="1" customWidth="1"/>
    <col min="6" max="6" width="29.28515625" bestFit="1" customWidth="1"/>
    <col min="7" max="7" width="16.7109375" bestFit="1" customWidth="1"/>
    <col min="8" max="8" width="14" bestFit="1" customWidth="1"/>
    <col min="9" max="16384" width="9.140625" hidden="1"/>
  </cols>
  <sheetData>
    <row r="1" spans="1:8" x14ac:dyDescent="0.2">
      <c r="A1" s="230" t="s">
        <v>226</v>
      </c>
      <c r="B1" s="230" t="s">
        <v>20</v>
      </c>
      <c r="C1" s="230" t="s">
        <v>198</v>
      </c>
      <c r="D1" s="230" t="s">
        <v>215</v>
      </c>
      <c r="E1" s="230" t="s">
        <v>27</v>
      </c>
      <c r="F1" s="230" t="s">
        <v>28</v>
      </c>
      <c r="G1" s="230" t="s">
        <v>216</v>
      </c>
      <c r="H1" s="230" t="s">
        <v>217</v>
      </c>
    </row>
    <row r="2" spans="1:8" hidden="1" x14ac:dyDescent="0.2">
      <c r="A2" t="str">
        <f>B2&amp;C2&amp;D2&amp;E2&amp;F2</f>
        <v>ITSEngenharia Reversa (entendimento solução atual)NSimples</v>
      </c>
      <c r="B2" s="229" t="s">
        <v>166</v>
      </c>
      <c r="C2" s="229" t="s">
        <v>222</v>
      </c>
      <c r="D2" s="229" t="s">
        <v>24</v>
      </c>
      <c r="E2" s="229" t="s">
        <v>26</v>
      </c>
      <c r="F2" s="229"/>
      <c r="G2" s="229">
        <v>8</v>
      </c>
      <c r="H2" s="229"/>
    </row>
    <row r="3" spans="1:8" hidden="1" x14ac:dyDescent="0.2">
      <c r="A3" t="str">
        <f t="shared" ref="A3:A66" si="0">B3&amp;C3&amp;D3&amp;E3&amp;F3</f>
        <v>ITSEngenharia Reversa (entendimento solução atual)NMédio</v>
      </c>
      <c r="B3" s="229" t="s">
        <v>166</v>
      </c>
      <c r="C3" s="229" t="s">
        <v>222</v>
      </c>
      <c r="D3" s="229" t="s">
        <v>24</v>
      </c>
      <c r="E3" s="229" t="s">
        <v>75</v>
      </c>
      <c r="F3" s="229"/>
      <c r="G3" s="229">
        <v>12</v>
      </c>
      <c r="H3" s="229"/>
    </row>
    <row r="4" spans="1:8" hidden="1" x14ac:dyDescent="0.2">
      <c r="A4" t="str">
        <f t="shared" si="0"/>
        <v>ITSEngenharia Reversa (entendimento solução atual)NComplexo</v>
      </c>
      <c r="B4" s="229" t="s">
        <v>166</v>
      </c>
      <c r="C4" s="229" t="s">
        <v>222</v>
      </c>
      <c r="D4" s="229" t="s">
        <v>24</v>
      </c>
      <c r="E4" s="229" t="s">
        <v>76</v>
      </c>
      <c r="F4" s="229"/>
      <c r="G4" s="229">
        <v>24</v>
      </c>
      <c r="H4" s="229"/>
    </row>
    <row r="5" spans="1:8" hidden="1" x14ac:dyDescent="0.2">
      <c r="A5" t="str">
        <f t="shared" si="0"/>
        <v>ITSDesenvolvimento de POCNSimples</v>
      </c>
      <c r="B5" s="229" t="s">
        <v>166</v>
      </c>
      <c r="C5" s="229" t="s">
        <v>223</v>
      </c>
      <c r="D5" s="229" t="s">
        <v>24</v>
      </c>
      <c r="E5" s="229" t="s">
        <v>26</v>
      </c>
      <c r="F5" s="229"/>
      <c r="G5" s="229">
        <v>8</v>
      </c>
      <c r="H5" s="229"/>
    </row>
    <row r="6" spans="1:8" hidden="1" x14ac:dyDescent="0.2">
      <c r="A6" t="str">
        <f t="shared" si="0"/>
        <v>ITSDesenvolvimento de POCNMédio</v>
      </c>
      <c r="B6" s="229" t="s">
        <v>166</v>
      </c>
      <c r="C6" s="229" t="s">
        <v>223</v>
      </c>
      <c r="D6" s="229" t="s">
        <v>24</v>
      </c>
      <c r="E6" s="229" t="s">
        <v>75</v>
      </c>
      <c r="F6" s="229"/>
      <c r="G6" s="229">
        <v>10</v>
      </c>
      <c r="H6" s="229"/>
    </row>
    <row r="7" spans="1:8" hidden="1" x14ac:dyDescent="0.2">
      <c r="A7" t="str">
        <f t="shared" si="0"/>
        <v>ITSDesenvolvimento de POCNComplexo</v>
      </c>
      <c r="B7" s="229" t="s">
        <v>166</v>
      </c>
      <c r="C7" s="229" t="s">
        <v>223</v>
      </c>
      <c r="D7" s="229" t="s">
        <v>24</v>
      </c>
      <c r="E7" s="229" t="s">
        <v>76</v>
      </c>
      <c r="F7" s="229"/>
      <c r="G7" s="229">
        <v>14</v>
      </c>
      <c r="H7" s="229"/>
    </row>
    <row r="8" spans="1:8" hidden="1" x14ac:dyDescent="0.2">
      <c r="A8" t="str">
        <f t="shared" si="0"/>
        <v>ITSEscrita de EspecificaçãoNSimples</v>
      </c>
      <c r="B8" s="229" t="s">
        <v>166</v>
      </c>
      <c r="C8" s="229" t="s">
        <v>224</v>
      </c>
      <c r="D8" s="229" t="s">
        <v>24</v>
      </c>
      <c r="E8" s="229" t="s">
        <v>26</v>
      </c>
      <c r="F8" s="229"/>
      <c r="G8" s="229">
        <v>4</v>
      </c>
      <c r="H8" s="229"/>
    </row>
    <row r="9" spans="1:8" hidden="1" x14ac:dyDescent="0.2">
      <c r="A9" t="str">
        <f t="shared" si="0"/>
        <v>ITSEscrita de EspecificaçãoNMédio</v>
      </c>
      <c r="B9" s="229" t="s">
        <v>166</v>
      </c>
      <c r="C9" s="229" t="s">
        <v>224</v>
      </c>
      <c r="D9" s="229" t="s">
        <v>24</v>
      </c>
      <c r="E9" s="229" t="s">
        <v>75</v>
      </c>
      <c r="F9" s="229"/>
      <c r="G9" s="229">
        <v>6</v>
      </c>
      <c r="H9" s="229"/>
    </row>
    <row r="10" spans="1:8" hidden="1" x14ac:dyDescent="0.2">
      <c r="A10" t="str">
        <f t="shared" si="0"/>
        <v>ITSEscrita de EspecificaçãoNComplexo</v>
      </c>
      <c r="B10" s="229" t="s">
        <v>166</v>
      </c>
      <c r="C10" s="229" t="s">
        <v>224</v>
      </c>
      <c r="D10" s="229" t="s">
        <v>24</v>
      </c>
      <c r="E10" s="229" t="s">
        <v>76</v>
      </c>
      <c r="F10" s="229"/>
      <c r="G10" s="229">
        <v>8</v>
      </c>
      <c r="H10" s="229"/>
    </row>
    <row r="11" spans="1:8" hidden="1" x14ac:dyDescent="0.2">
      <c r="A11" t="str">
        <f t="shared" si="0"/>
        <v>ITSConfiguração Projeto/MóduloNSimples</v>
      </c>
      <c r="B11" s="229" t="s">
        <v>166</v>
      </c>
      <c r="C11" s="229" t="s">
        <v>221</v>
      </c>
      <c r="D11" s="229" t="s">
        <v>24</v>
      </c>
      <c r="E11" s="229" t="s">
        <v>26</v>
      </c>
      <c r="F11" s="229"/>
      <c r="G11">
        <v>2</v>
      </c>
    </row>
    <row r="12" spans="1:8" hidden="1" x14ac:dyDescent="0.2">
      <c r="A12" t="str">
        <f t="shared" si="0"/>
        <v>ITSConfiguração Projeto/MóduloNMédio</v>
      </c>
      <c r="B12" s="229" t="s">
        <v>166</v>
      </c>
      <c r="C12" s="229" t="s">
        <v>221</v>
      </c>
      <c r="D12" s="229" t="s">
        <v>24</v>
      </c>
      <c r="E12" s="229" t="s">
        <v>75</v>
      </c>
      <c r="F12" s="229"/>
      <c r="G12">
        <v>4</v>
      </c>
    </row>
    <row r="13" spans="1:8" hidden="1" x14ac:dyDescent="0.2">
      <c r="A13" t="str">
        <f t="shared" si="0"/>
        <v>ITSConfiguração Projeto/MóduloNComplexo</v>
      </c>
      <c r="B13" s="229" t="s">
        <v>166</v>
      </c>
      <c r="C13" s="229" t="s">
        <v>221</v>
      </c>
      <c r="D13" s="229" t="s">
        <v>24</v>
      </c>
      <c r="E13" s="229" t="s">
        <v>76</v>
      </c>
      <c r="F13" s="229"/>
      <c r="G13">
        <v>8</v>
      </c>
    </row>
    <row r="14" spans="1:8" hidden="1" x14ac:dyDescent="0.2">
      <c r="A14" t="str">
        <f t="shared" si="0"/>
        <v>TEMPLATERegraDroolsNSimples</v>
      </c>
      <c r="B14" s="229" t="s">
        <v>225</v>
      </c>
      <c r="C14" s="229" t="s">
        <v>218</v>
      </c>
      <c r="D14" s="229" t="s">
        <v>24</v>
      </c>
      <c r="E14" s="229" t="s">
        <v>26</v>
      </c>
      <c r="F14" s="229"/>
      <c r="G14">
        <v>3</v>
      </c>
    </row>
    <row r="15" spans="1:8" hidden="1" x14ac:dyDescent="0.2">
      <c r="A15" t="str">
        <f t="shared" si="0"/>
        <v>TEMPLATERegraDroolsNMédio</v>
      </c>
      <c r="B15" s="229" t="s">
        <v>225</v>
      </c>
      <c r="C15" s="229" t="s">
        <v>218</v>
      </c>
      <c r="D15" s="229" t="s">
        <v>24</v>
      </c>
      <c r="E15" s="229" t="s">
        <v>75</v>
      </c>
      <c r="F15" s="229"/>
      <c r="G15">
        <v>5</v>
      </c>
    </row>
    <row r="16" spans="1:8" hidden="1" x14ac:dyDescent="0.2">
      <c r="A16" t="str">
        <f t="shared" si="0"/>
        <v>TEMPLATERegraDroolsNComplexo</v>
      </c>
      <c r="B16" s="229" t="s">
        <v>225</v>
      </c>
      <c r="C16" s="229" t="s">
        <v>218</v>
      </c>
      <c r="D16" s="229" t="s">
        <v>24</v>
      </c>
      <c r="E16" s="229" t="s">
        <v>76</v>
      </c>
      <c r="F16" s="229"/>
      <c r="G16">
        <v>9</v>
      </c>
    </row>
    <row r="17" spans="1:7" hidden="1" x14ac:dyDescent="0.2">
      <c r="A17" t="str">
        <f t="shared" si="0"/>
        <v>TEMPLATERegraDroolsASimplesSimples</v>
      </c>
      <c r="B17" s="229" t="s">
        <v>225</v>
      </c>
      <c r="C17" s="229" t="s">
        <v>218</v>
      </c>
      <c r="D17" s="229" t="s">
        <v>25</v>
      </c>
      <c r="E17" s="229" t="s">
        <v>26</v>
      </c>
      <c r="F17" s="229" t="s">
        <v>26</v>
      </c>
      <c r="G17">
        <v>2</v>
      </c>
    </row>
    <row r="18" spans="1:7" hidden="1" x14ac:dyDescent="0.2">
      <c r="A18" t="str">
        <f t="shared" si="0"/>
        <v>TEMPLATERegraDroolsASimplesMédio</v>
      </c>
      <c r="B18" s="229" t="s">
        <v>225</v>
      </c>
      <c r="C18" s="229" t="s">
        <v>218</v>
      </c>
      <c r="D18" s="229" t="s">
        <v>25</v>
      </c>
      <c r="E18" s="229" t="s">
        <v>26</v>
      </c>
      <c r="F18" s="229" t="s">
        <v>75</v>
      </c>
      <c r="G18">
        <v>4</v>
      </c>
    </row>
    <row r="19" spans="1:7" hidden="1" x14ac:dyDescent="0.2">
      <c r="A19" t="str">
        <f t="shared" si="0"/>
        <v>TEMPLATERegraDroolsASimplesComplexo</v>
      </c>
      <c r="B19" s="229" t="s">
        <v>225</v>
      </c>
      <c r="C19" s="229" t="s">
        <v>218</v>
      </c>
      <c r="D19" s="229" t="s">
        <v>25</v>
      </c>
      <c r="E19" s="229" t="s">
        <v>26</v>
      </c>
      <c r="F19" s="229" t="s">
        <v>76</v>
      </c>
      <c r="G19">
        <v>6</v>
      </c>
    </row>
    <row r="20" spans="1:7" hidden="1" x14ac:dyDescent="0.2">
      <c r="A20" t="str">
        <f t="shared" si="0"/>
        <v>TEMPLATERegraDroolsAMédioSimples</v>
      </c>
      <c r="B20" s="229" t="s">
        <v>225</v>
      </c>
      <c r="C20" s="229" t="s">
        <v>218</v>
      </c>
      <c r="D20" s="229" t="s">
        <v>25</v>
      </c>
      <c r="E20" s="229" t="s">
        <v>75</v>
      </c>
      <c r="F20" s="229" t="s">
        <v>26</v>
      </c>
      <c r="G20">
        <v>3</v>
      </c>
    </row>
    <row r="21" spans="1:7" hidden="1" x14ac:dyDescent="0.2">
      <c r="A21" t="str">
        <f t="shared" si="0"/>
        <v>TEMPLATERegraDroolsAMédioMédio</v>
      </c>
      <c r="B21" s="229" t="s">
        <v>225</v>
      </c>
      <c r="C21" s="229" t="s">
        <v>218</v>
      </c>
      <c r="D21" s="229" t="s">
        <v>25</v>
      </c>
      <c r="E21" s="229" t="s">
        <v>75</v>
      </c>
      <c r="F21" s="229" t="s">
        <v>75</v>
      </c>
      <c r="G21">
        <v>6</v>
      </c>
    </row>
    <row r="22" spans="1:7" hidden="1" x14ac:dyDescent="0.2">
      <c r="A22" t="str">
        <f t="shared" si="0"/>
        <v>TEMPLATERegraDroolsAMédioComplexo</v>
      </c>
      <c r="B22" s="229" t="s">
        <v>225</v>
      </c>
      <c r="C22" s="229" t="s">
        <v>218</v>
      </c>
      <c r="D22" s="229" t="s">
        <v>25</v>
      </c>
      <c r="E22" s="229" t="s">
        <v>75</v>
      </c>
      <c r="F22" s="229" t="s">
        <v>76</v>
      </c>
      <c r="G22">
        <v>8</v>
      </c>
    </row>
    <row r="23" spans="1:7" hidden="1" x14ac:dyDescent="0.2">
      <c r="A23" t="str">
        <f t="shared" si="0"/>
        <v>TEMPLATERegraDroolsAComplexoSimples</v>
      </c>
      <c r="B23" s="229" t="s">
        <v>225</v>
      </c>
      <c r="C23" s="229" t="s">
        <v>218</v>
      </c>
      <c r="D23" s="229" t="s">
        <v>25</v>
      </c>
      <c r="E23" s="229" t="s">
        <v>76</v>
      </c>
      <c r="F23" s="229" t="s">
        <v>26</v>
      </c>
      <c r="G23">
        <v>6</v>
      </c>
    </row>
    <row r="24" spans="1:7" hidden="1" x14ac:dyDescent="0.2">
      <c r="A24" t="str">
        <f t="shared" si="0"/>
        <v>TEMPLATERegraDroolsAComplexoMédio</v>
      </c>
      <c r="B24" s="229" t="s">
        <v>225</v>
      </c>
      <c r="C24" s="229" t="s">
        <v>218</v>
      </c>
      <c r="D24" s="229" t="s">
        <v>25</v>
      </c>
      <c r="E24" s="229" t="s">
        <v>76</v>
      </c>
      <c r="F24" s="229" t="s">
        <v>75</v>
      </c>
      <c r="G24">
        <v>8</v>
      </c>
    </row>
    <row r="25" spans="1:7" hidden="1" x14ac:dyDescent="0.2">
      <c r="A25" t="str">
        <f t="shared" si="0"/>
        <v>TEMPLATERegraDroolsAComplexoComplexo</v>
      </c>
      <c r="B25" s="229" t="s">
        <v>225</v>
      </c>
      <c r="C25" s="229" t="s">
        <v>218</v>
      </c>
      <c r="D25" s="229" t="s">
        <v>25</v>
      </c>
      <c r="E25" s="229" t="s">
        <v>76</v>
      </c>
      <c r="F25" s="229" t="s">
        <v>76</v>
      </c>
      <c r="G25">
        <v>12</v>
      </c>
    </row>
    <row r="26" spans="1:7" hidden="1" x14ac:dyDescent="0.2">
      <c r="A26" t="str">
        <f t="shared" si="0"/>
        <v>TEMPLATEJUnitNSimples</v>
      </c>
      <c r="B26" s="229" t="s">
        <v>225</v>
      </c>
      <c r="C26" s="229" t="s">
        <v>219</v>
      </c>
      <c r="D26" s="229" t="s">
        <v>24</v>
      </c>
      <c r="E26" s="229" t="s">
        <v>26</v>
      </c>
      <c r="F26" s="229"/>
      <c r="G26">
        <v>3</v>
      </c>
    </row>
    <row r="27" spans="1:7" hidden="1" x14ac:dyDescent="0.2">
      <c r="A27" t="str">
        <f t="shared" si="0"/>
        <v>TEMPLATEJUnitNMédio</v>
      </c>
      <c r="B27" s="229" t="s">
        <v>225</v>
      </c>
      <c r="C27" s="229" t="s">
        <v>219</v>
      </c>
      <c r="D27" s="229" t="s">
        <v>24</v>
      </c>
      <c r="E27" s="229" t="s">
        <v>75</v>
      </c>
      <c r="F27" s="229"/>
      <c r="G27">
        <v>5</v>
      </c>
    </row>
    <row r="28" spans="1:7" hidden="1" x14ac:dyDescent="0.2">
      <c r="A28" t="str">
        <f t="shared" si="0"/>
        <v>TEMPLATEJUnitNComplexo</v>
      </c>
      <c r="B28" s="229" t="s">
        <v>225</v>
      </c>
      <c r="C28" s="229" t="s">
        <v>219</v>
      </c>
      <c r="D28" s="229" t="s">
        <v>24</v>
      </c>
      <c r="E28" s="229" t="s">
        <v>76</v>
      </c>
      <c r="F28" s="229"/>
      <c r="G28">
        <v>9</v>
      </c>
    </row>
    <row r="29" spans="1:7" hidden="1" x14ac:dyDescent="0.2">
      <c r="A29" t="str">
        <f t="shared" si="0"/>
        <v>TEMPLATEJUnitASimplesSimples</v>
      </c>
      <c r="B29" s="229" t="s">
        <v>225</v>
      </c>
      <c r="C29" s="229" t="s">
        <v>219</v>
      </c>
      <c r="D29" s="229" t="s">
        <v>25</v>
      </c>
      <c r="E29" s="229" t="s">
        <v>26</v>
      </c>
      <c r="F29" s="229" t="s">
        <v>26</v>
      </c>
      <c r="G29">
        <v>2</v>
      </c>
    </row>
    <row r="30" spans="1:7" hidden="1" x14ac:dyDescent="0.2">
      <c r="A30" t="str">
        <f t="shared" si="0"/>
        <v>TEMPLATEJUnitASimplesMédio</v>
      </c>
      <c r="B30" s="229" t="s">
        <v>225</v>
      </c>
      <c r="C30" s="229" t="s">
        <v>219</v>
      </c>
      <c r="D30" s="229" t="s">
        <v>25</v>
      </c>
      <c r="E30" s="229" t="s">
        <v>26</v>
      </c>
      <c r="F30" s="229" t="s">
        <v>75</v>
      </c>
      <c r="G30">
        <v>4</v>
      </c>
    </row>
    <row r="31" spans="1:7" hidden="1" x14ac:dyDescent="0.2">
      <c r="A31" t="str">
        <f t="shared" si="0"/>
        <v>TEMPLATEJUnitASimplesComplexo</v>
      </c>
      <c r="B31" s="229" t="s">
        <v>225</v>
      </c>
      <c r="C31" s="229" t="s">
        <v>219</v>
      </c>
      <c r="D31" s="229" t="s">
        <v>25</v>
      </c>
      <c r="E31" s="229" t="s">
        <v>26</v>
      </c>
      <c r="F31" s="229" t="s">
        <v>76</v>
      </c>
      <c r="G31">
        <v>5</v>
      </c>
    </row>
    <row r="32" spans="1:7" hidden="1" x14ac:dyDescent="0.2">
      <c r="A32" t="str">
        <f t="shared" si="0"/>
        <v>TEMPLATEJUnitAMédioSimples</v>
      </c>
      <c r="B32" s="229" t="s">
        <v>225</v>
      </c>
      <c r="C32" s="229" t="s">
        <v>219</v>
      </c>
      <c r="D32" s="229" t="s">
        <v>25</v>
      </c>
      <c r="E32" s="229" t="s">
        <v>75</v>
      </c>
      <c r="F32" s="229" t="s">
        <v>26</v>
      </c>
      <c r="G32">
        <v>3</v>
      </c>
    </row>
    <row r="33" spans="1:7" hidden="1" x14ac:dyDescent="0.2">
      <c r="A33" t="str">
        <f t="shared" si="0"/>
        <v>TEMPLATEJUnitAMédioMédio</v>
      </c>
      <c r="B33" s="229" t="s">
        <v>225</v>
      </c>
      <c r="C33" s="229" t="s">
        <v>219</v>
      </c>
      <c r="D33" s="229" t="s">
        <v>25</v>
      </c>
      <c r="E33" s="229" t="s">
        <v>75</v>
      </c>
      <c r="F33" s="229" t="s">
        <v>75</v>
      </c>
      <c r="G33">
        <v>5</v>
      </c>
    </row>
    <row r="34" spans="1:7" hidden="1" x14ac:dyDescent="0.2">
      <c r="A34" t="str">
        <f t="shared" si="0"/>
        <v>TEMPLATEJUnitAMédioComplexo</v>
      </c>
      <c r="B34" s="229" t="s">
        <v>225</v>
      </c>
      <c r="C34" s="229" t="s">
        <v>219</v>
      </c>
      <c r="D34" s="229" t="s">
        <v>25</v>
      </c>
      <c r="E34" s="229" t="s">
        <v>75</v>
      </c>
      <c r="F34" s="229" t="s">
        <v>76</v>
      </c>
      <c r="G34">
        <v>7</v>
      </c>
    </row>
    <row r="35" spans="1:7" hidden="1" x14ac:dyDescent="0.2">
      <c r="A35" t="str">
        <f t="shared" si="0"/>
        <v>TEMPLATEJUnitAComplexoSimples</v>
      </c>
      <c r="B35" s="229" t="s">
        <v>225</v>
      </c>
      <c r="C35" s="229" t="s">
        <v>219</v>
      </c>
      <c r="D35" s="229" t="s">
        <v>25</v>
      </c>
      <c r="E35" s="229" t="s">
        <v>76</v>
      </c>
      <c r="F35" s="229" t="s">
        <v>26</v>
      </c>
      <c r="G35">
        <v>4</v>
      </c>
    </row>
    <row r="36" spans="1:7" hidden="1" x14ac:dyDescent="0.2">
      <c r="A36" t="str">
        <f t="shared" si="0"/>
        <v>TEMPLATEJUnitAComplexoMédio</v>
      </c>
      <c r="B36" s="229" t="s">
        <v>225</v>
      </c>
      <c r="C36" s="229" t="s">
        <v>219</v>
      </c>
      <c r="D36" s="229" t="s">
        <v>25</v>
      </c>
      <c r="E36" s="229" t="s">
        <v>76</v>
      </c>
      <c r="F36" s="229" t="s">
        <v>75</v>
      </c>
      <c r="G36">
        <v>6</v>
      </c>
    </row>
    <row r="37" spans="1:7" hidden="1" x14ac:dyDescent="0.2">
      <c r="A37" t="str">
        <f t="shared" si="0"/>
        <v>TEMPLATEJUnitAComplexoComplexo</v>
      </c>
      <c r="B37" s="229" t="s">
        <v>225</v>
      </c>
      <c r="C37" s="229" t="s">
        <v>219</v>
      </c>
      <c r="D37" s="229" t="s">
        <v>25</v>
      </c>
      <c r="E37" s="229" t="s">
        <v>76</v>
      </c>
      <c r="F37" s="229" t="s">
        <v>76</v>
      </c>
      <c r="G37">
        <v>8</v>
      </c>
    </row>
    <row r="38" spans="1:7" hidden="1" x14ac:dyDescent="0.2">
      <c r="A38" t="str">
        <f t="shared" si="0"/>
        <v>TEMPLATEBanco de Dados (DML, DDL)NSimples</v>
      </c>
      <c r="B38" s="229" t="s">
        <v>225</v>
      </c>
      <c r="C38" s="229" t="s">
        <v>220</v>
      </c>
      <c r="D38" s="229" t="s">
        <v>24</v>
      </c>
      <c r="E38" s="229" t="s">
        <v>26</v>
      </c>
      <c r="F38" s="229"/>
      <c r="G38">
        <v>1</v>
      </c>
    </row>
    <row r="39" spans="1:7" hidden="1" x14ac:dyDescent="0.2">
      <c r="A39" t="str">
        <f t="shared" si="0"/>
        <v>TEMPLATEBanco de Dados (DML, DDL)NMédio</v>
      </c>
      <c r="B39" s="229" t="s">
        <v>225</v>
      </c>
      <c r="C39" s="229" t="s">
        <v>220</v>
      </c>
      <c r="D39" s="229" t="s">
        <v>24</v>
      </c>
      <c r="E39" s="229" t="s">
        <v>75</v>
      </c>
      <c r="F39" s="229"/>
      <c r="G39">
        <v>3</v>
      </c>
    </row>
    <row r="40" spans="1:7" hidden="1" x14ac:dyDescent="0.2">
      <c r="A40" t="str">
        <f t="shared" si="0"/>
        <v>TEMPLATEBanco de Dados (DML, DDL)NComplexo</v>
      </c>
      <c r="B40" s="229" t="s">
        <v>225</v>
      </c>
      <c r="C40" s="229" t="s">
        <v>220</v>
      </c>
      <c r="D40" s="229" t="s">
        <v>24</v>
      </c>
      <c r="E40" s="229" t="s">
        <v>76</v>
      </c>
      <c r="F40" s="229"/>
      <c r="G40">
        <v>5</v>
      </c>
    </row>
    <row r="41" spans="1:7" hidden="1" x14ac:dyDescent="0.2">
      <c r="A41" t="str">
        <f t="shared" si="0"/>
        <v>TEMPLATEBanco de Dados (DML, DDL)ASimplesSimples</v>
      </c>
      <c r="B41" s="229" t="s">
        <v>225</v>
      </c>
      <c r="C41" s="229" t="s">
        <v>220</v>
      </c>
      <c r="D41" s="229" t="s">
        <v>25</v>
      </c>
      <c r="E41" s="229" t="s">
        <v>26</v>
      </c>
      <c r="F41" s="229" t="s">
        <v>26</v>
      </c>
      <c r="G41">
        <v>1</v>
      </c>
    </row>
    <row r="42" spans="1:7" hidden="1" x14ac:dyDescent="0.2">
      <c r="A42" t="str">
        <f t="shared" si="0"/>
        <v>TEMPLATEBanco de Dados (DML, DDL)ASimplesMédio</v>
      </c>
      <c r="B42" s="229" t="s">
        <v>225</v>
      </c>
      <c r="C42" s="229" t="s">
        <v>220</v>
      </c>
      <c r="D42" s="229" t="s">
        <v>25</v>
      </c>
      <c r="E42" s="229" t="s">
        <v>26</v>
      </c>
      <c r="F42" s="229" t="s">
        <v>75</v>
      </c>
      <c r="G42">
        <v>3</v>
      </c>
    </row>
    <row r="43" spans="1:7" hidden="1" x14ac:dyDescent="0.2">
      <c r="A43" t="str">
        <f t="shared" si="0"/>
        <v>TEMPLATEBanco de Dados (DML, DDL)ASimplesComplexo</v>
      </c>
      <c r="B43" s="229" t="s">
        <v>225</v>
      </c>
      <c r="C43" s="229" t="s">
        <v>220</v>
      </c>
      <c r="D43" s="229" t="s">
        <v>25</v>
      </c>
      <c r="E43" s="229" t="s">
        <v>26</v>
      </c>
      <c r="F43" s="229" t="s">
        <v>76</v>
      </c>
      <c r="G43">
        <v>5</v>
      </c>
    </row>
    <row r="44" spans="1:7" hidden="1" x14ac:dyDescent="0.2">
      <c r="A44" t="str">
        <f t="shared" si="0"/>
        <v>TEMPLATEBanco de Dados (DML, DDL)AMédioSimples</v>
      </c>
      <c r="B44" s="229" t="s">
        <v>225</v>
      </c>
      <c r="C44" s="229" t="s">
        <v>220</v>
      </c>
      <c r="D44" s="229" t="s">
        <v>25</v>
      </c>
      <c r="E44" s="229" t="s">
        <v>75</v>
      </c>
      <c r="F44" s="229" t="s">
        <v>26</v>
      </c>
      <c r="G44">
        <v>3</v>
      </c>
    </row>
    <row r="45" spans="1:7" hidden="1" x14ac:dyDescent="0.2">
      <c r="A45" t="str">
        <f t="shared" si="0"/>
        <v>TEMPLATEBanco de Dados (DML, DDL)AMédioMédio</v>
      </c>
      <c r="B45" s="229" t="s">
        <v>225</v>
      </c>
      <c r="C45" s="229" t="s">
        <v>220</v>
      </c>
      <c r="D45" s="229" t="s">
        <v>25</v>
      </c>
      <c r="E45" s="229" t="s">
        <v>75</v>
      </c>
      <c r="F45" s="229" t="s">
        <v>75</v>
      </c>
      <c r="G45">
        <v>6</v>
      </c>
    </row>
    <row r="46" spans="1:7" hidden="1" x14ac:dyDescent="0.2">
      <c r="A46" t="str">
        <f t="shared" si="0"/>
        <v>TEMPLATEBanco de Dados (DML, DDL)AMédioComplexo</v>
      </c>
      <c r="B46" s="229" t="s">
        <v>225</v>
      </c>
      <c r="C46" s="229" t="s">
        <v>220</v>
      </c>
      <c r="D46" s="229" t="s">
        <v>25</v>
      </c>
      <c r="E46" s="229" t="s">
        <v>75</v>
      </c>
      <c r="F46" s="229" t="s">
        <v>76</v>
      </c>
      <c r="G46">
        <v>8</v>
      </c>
    </row>
    <row r="47" spans="1:7" hidden="1" x14ac:dyDescent="0.2">
      <c r="A47" t="str">
        <f t="shared" si="0"/>
        <v>TEMPLATEBanco de Dados (DML, DDL)AComplexoSimples</v>
      </c>
      <c r="B47" s="229" t="s">
        <v>225</v>
      </c>
      <c r="C47" s="229" t="s">
        <v>220</v>
      </c>
      <c r="D47" s="229" t="s">
        <v>25</v>
      </c>
      <c r="E47" s="229" t="s">
        <v>76</v>
      </c>
      <c r="F47" s="229" t="s">
        <v>26</v>
      </c>
      <c r="G47">
        <v>5</v>
      </c>
    </row>
    <row r="48" spans="1:7" hidden="1" x14ac:dyDescent="0.2">
      <c r="A48" t="str">
        <f t="shared" si="0"/>
        <v>TEMPLATEBanco de Dados (DML, DDL)AComplexoMédio</v>
      </c>
      <c r="B48" s="229" t="s">
        <v>225</v>
      </c>
      <c r="C48" s="229" t="s">
        <v>220</v>
      </c>
      <c r="D48" s="229" t="s">
        <v>25</v>
      </c>
      <c r="E48" s="229" t="s">
        <v>76</v>
      </c>
      <c r="F48" s="229" t="s">
        <v>75</v>
      </c>
      <c r="G48">
        <v>8</v>
      </c>
    </row>
    <row r="49" spans="1:7" hidden="1" x14ac:dyDescent="0.2">
      <c r="A49" t="str">
        <f t="shared" si="0"/>
        <v>TEMPLATEBanco de Dados (DML, DDL)AComplexoComplexo</v>
      </c>
      <c r="B49" s="229" t="s">
        <v>225</v>
      </c>
      <c r="C49" s="229" t="s">
        <v>220</v>
      </c>
      <c r="D49" s="229" t="s">
        <v>25</v>
      </c>
      <c r="E49" s="229" t="s">
        <v>76</v>
      </c>
      <c r="F49" s="229" t="s">
        <v>76</v>
      </c>
      <c r="G49">
        <v>10</v>
      </c>
    </row>
    <row r="50" spans="1:7" hidden="1" x14ac:dyDescent="0.2">
      <c r="A50" t="str">
        <f t="shared" si="0"/>
        <v>TEMPLATEBanco de Dados (PL/SQL)NSimples</v>
      </c>
      <c r="B50" s="229" t="s">
        <v>225</v>
      </c>
      <c r="C50" s="229" t="s">
        <v>203</v>
      </c>
      <c r="D50" s="229" t="s">
        <v>24</v>
      </c>
      <c r="E50" s="229" t="s">
        <v>26</v>
      </c>
      <c r="F50" s="229"/>
      <c r="G50">
        <v>4</v>
      </c>
    </row>
    <row r="51" spans="1:7" hidden="1" x14ac:dyDescent="0.2">
      <c r="A51" t="str">
        <f t="shared" si="0"/>
        <v>TEMPLATEBanco de Dados (PL/SQL)NMédio</v>
      </c>
      <c r="B51" s="229" t="s">
        <v>225</v>
      </c>
      <c r="C51" s="229" t="s">
        <v>203</v>
      </c>
      <c r="D51" s="229" t="s">
        <v>24</v>
      </c>
      <c r="E51" s="229" t="s">
        <v>75</v>
      </c>
      <c r="F51" s="229"/>
      <c r="G51">
        <v>8</v>
      </c>
    </row>
    <row r="52" spans="1:7" hidden="1" x14ac:dyDescent="0.2">
      <c r="A52" t="str">
        <f t="shared" si="0"/>
        <v>TEMPLATEBanco de Dados (PL/SQL)NComplexo</v>
      </c>
      <c r="B52" s="229" t="s">
        <v>225</v>
      </c>
      <c r="C52" s="229" t="s">
        <v>203</v>
      </c>
      <c r="D52" s="229" t="s">
        <v>24</v>
      </c>
      <c r="E52" s="229" t="s">
        <v>76</v>
      </c>
      <c r="F52" s="229"/>
      <c r="G52">
        <v>12</v>
      </c>
    </row>
    <row r="53" spans="1:7" hidden="1" x14ac:dyDescent="0.2">
      <c r="A53" t="str">
        <f t="shared" si="0"/>
        <v>TEMPLATEBanco de Dados (PL/SQL)ASimplesSimples</v>
      </c>
      <c r="B53" s="229" t="s">
        <v>225</v>
      </c>
      <c r="C53" s="229" t="s">
        <v>203</v>
      </c>
      <c r="D53" s="229" t="s">
        <v>25</v>
      </c>
      <c r="E53" s="229" t="s">
        <v>26</v>
      </c>
      <c r="F53" s="229" t="s">
        <v>26</v>
      </c>
      <c r="G53">
        <v>2</v>
      </c>
    </row>
    <row r="54" spans="1:7" hidden="1" x14ac:dyDescent="0.2">
      <c r="A54" t="str">
        <f t="shared" si="0"/>
        <v>TEMPLATEBanco de Dados (PL/SQL)ASimplesMédio</v>
      </c>
      <c r="B54" s="229" t="s">
        <v>225</v>
      </c>
      <c r="C54" s="229" t="s">
        <v>203</v>
      </c>
      <c r="D54" s="229" t="s">
        <v>25</v>
      </c>
      <c r="E54" s="229" t="s">
        <v>26</v>
      </c>
      <c r="F54" s="229" t="s">
        <v>75</v>
      </c>
      <c r="G54">
        <v>4</v>
      </c>
    </row>
    <row r="55" spans="1:7" hidden="1" x14ac:dyDescent="0.2">
      <c r="A55" t="str">
        <f t="shared" si="0"/>
        <v>TEMPLATEBanco de Dados (PL/SQL)ASimplesComplexo</v>
      </c>
      <c r="B55" s="229" t="s">
        <v>225</v>
      </c>
      <c r="C55" s="229" t="s">
        <v>203</v>
      </c>
      <c r="D55" s="229" t="s">
        <v>25</v>
      </c>
      <c r="E55" s="229" t="s">
        <v>26</v>
      </c>
      <c r="F55" s="229" t="s">
        <v>76</v>
      </c>
      <c r="G55">
        <v>6</v>
      </c>
    </row>
    <row r="56" spans="1:7" hidden="1" x14ac:dyDescent="0.2">
      <c r="A56" t="str">
        <f t="shared" si="0"/>
        <v>TEMPLATEBanco de Dados (PL/SQL)AMédioSimples</v>
      </c>
      <c r="B56" s="229" t="s">
        <v>225</v>
      </c>
      <c r="C56" s="229" t="s">
        <v>203</v>
      </c>
      <c r="D56" s="229" t="s">
        <v>25</v>
      </c>
      <c r="E56" s="229" t="s">
        <v>75</v>
      </c>
      <c r="F56" s="229" t="s">
        <v>26</v>
      </c>
      <c r="G56">
        <v>4</v>
      </c>
    </row>
    <row r="57" spans="1:7" hidden="1" x14ac:dyDescent="0.2">
      <c r="A57" t="str">
        <f t="shared" si="0"/>
        <v>TEMPLATEBanco de Dados (PL/SQL)AMédioMédio</v>
      </c>
      <c r="B57" s="229" t="s">
        <v>225</v>
      </c>
      <c r="C57" s="229" t="s">
        <v>203</v>
      </c>
      <c r="D57" s="229" t="s">
        <v>25</v>
      </c>
      <c r="E57" s="229" t="s">
        <v>75</v>
      </c>
      <c r="F57" s="229" t="s">
        <v>75</v>
      </c>
      <c r="G57">
        <v>6</v>
      </c>
    </row>
    <row r="58" spans="1:7" hidden="1" x14ac:dyDescent="0.2">
      <c r="A58" t="str">
        <f t="shared" si="0"/>
        <v>TEMPLATEBanco de Dados (PL/SQL)AMédioComplexo</v>
      </c>
      <c r="B58" s="229" t="s">
        <v>225</v>
      </c>
      <c r="C58" s="229" t="s">
        <v>203</v>
      </c>
      <c r="D58" s="229" t="s">
        <v>25</v>
      </c>
      <c r="E58" s="229" t="s">
        <v>75</v>
      </c>
      <c r="F58" s="229" t="s">
        <v>76</v>
      </c>
      <c r="G58">
        <v>9</v>
      </c>
    </row>
    <row r="59" spans="1:7" hidden="1" x14ac:dyDescent="0.2">
      <c r="A59" t="str">
        <f t="shared" si="0"/>
        <v>TEMPLATEBanco de Dados (PL/SQL)AComplexoSimples</v>
      </c>
      <c r="B59" s="229" t="s">
        <v>225</v>
      </c>
      <c r="C59" s="229" t="s">
        <v>203</v>
      </c>
      <c r="D59" s="229" t="s">
        <v>25</v>
      </c>
      <c r="E59" s="229" t="s">
        <v>76</v>
      </c>
      <c r="F59" s="229" t="s">
        <v>26</v>
      </c>
      <c r="G59">
        <v>7</v>
      </c>
    </row>
    <row r="60" spans="1:7" hidden="1" x14ac:dyDescent="0.2">
      <c r="A60" t="str">
        <f t="shared" si="0"/>
        <v>TEMPLATEBanco de Dados (PL/SQL)AComplexoMédio</v>
      </c>
      <c r="B60" s="229" t="s">
        <v>225</v>
      </c>
      <c r="C60" s="229" t="s">
        <v>203</v>
      </c>
      <c r="D60" s="229" t="s">
        <v>25</v>
      </c>
      <c r="E60" s="229" t="s">
        <v>76</v>
      </c>
      <c r="F60" s="229" t="s">
        <v>75</v>
      </c>
      <c r="G60">
        <v>9</v>
      </c>
    </row>
    <row r="61" spans="1:7" hidden="1" x14ac:dyDescent="0.2">
      <c r="A61" t="str">
        <f t="shared" si="0"/>
        <v>TEMPLATEBanco de Dados (PL/SQL)AComplexoComplexo</v>
      </c>
      <c r="B61" s="229" t="s">
        <v>225</v>
      </c>
      <c r="C61" s="229" t="s">
        <v>203</v>
      </c>
      <c r="D61" s="229" t="s">
        <v>25</v>
      </c>
      <c r="E61" s="229" t="s">
        <v>76</v>
      </c>
      <c r="F61" s="229" t="s">
        <v>76</v>
      </c>
      <c r="G61">
        <v>12</v>
      </c>
    </row>
    <row r="62" spans="1:7" hidden="1" x14ac:dyDescent="0.2">
      <c r="A62" t="str">
        <f t="shared" si="0"/>
        <v>TEMPLATEJAVA: Interface WebServiceNSimples</v>
      </c>
      <c r="B62" s="229" t="s">
        <v>225</v>
      </c>
      <c r="C62" s="229" t="s">
        <v>204</v>
      </c>
      <c r="D62" s="229" t="s">
        <v>24</v>
      </c>
      <c r="E62" s="229" t="s">
        <v>26</v>
      </c>
      <c r="F62" s="229"/>
      <c r="G62">
        <v>3</v>
      </c>
    </row>
    <row r="63" spans="1:7" hidden="1" x14ac:dyDescent="0.2">
      <c r="A63" t="str">
        <f t="shared" si="0"/>
        <v>TEMPLATEJAVA: Interface WebServiceNMédio</v>
      </c>
      <c r="B63" s="229" t="s">
        <v>225</v>
      </c>
      <c r="C63" s="229" t="s">
        <v>204</v>
      </c>
      <c r="D63" s="229" t="s">
        <v>24</v>
      </c>
      <c r="E63" s="229" t="s">
        <v>75</v>
      </c>
      <c r="F63" s="229"/>
      <c r="G63">
        <v>5</v>
      </c>
    </row>
    <row r="64" spans="1:7" hidden="1" x14ac:dyDescent="0.2">
      <c r="A64" t="str">
        <f t="shared" si="0"/>
        <v>TEMPLATEJAVA: Interface WebServiceNComplexo</v>
      </c>
      <c r="B64" s="229" t="s">
        <v>225</v>
      </c>
      <c r="C64" s="229" t="s">
        <v>204</v>
      </c>
      <c r="D64" s="229" t="s">
        <v>24</v>
      </c>
      <c r="E64" s="229" t="s">
        <v>76</v>
      </c>
      <c r="F64" s="229"/>
      <c r="G64">
        <v>8</v>
      </c>
    </row>
    <row r="65" spans="1:7" hidden="1" x14ac:dyDescent="0.2">
      <c r="A65" t="str">
        <f t="shared" si="0"/>
        <v>TEMPLATEJAVA: Interface WebServiceASimplesSimples</v>
      </c>
      <c r="B65" s="229" t="s">
        <v>225</v>
      </c>
      <c r="C65" s="229" t="s">
        <v>204</v>
      </c>
      <c r="D65" s="229" t="s">
        <v>25</v>
      </c>
      <c r="E65" s="229" t="s">
        <v>26</v>
      </c>
      <c r="F65" s="229" t="s">
        <v>26</v>
      </c>
      <c r="G65">
        <v>2</v>
      </c>
    </row>
    <row r="66" spans="1:7" hidden="1" x14ac:dyDescent="0.2">
      <c r="A66" t="str">
        <f t="shared" si="0"/>
        <v>TEMPLATEJAVA: Interface WebServiceASimplesMédio</v>
      </c>
      <c r="B66" s="229" t="s">
        <v>225</v>
      </c>
      <c r="C66" s="229" t="s">
        <v>204</v>
      </c>
      <c r="D66" s="229" t="s">
        <v>25</v>
      </c>
      <c r="E66" s="229" t="s">
        <v>26</v>
      </c>
      <c r="F66" s="229" t="s">
        <v>75</v>
      </c>
      <c r="G66">
        <v>3</v>
      </c>
    </row>
    <row r="67" spans="1:7" hidden="1" x14ac:dyDescent="0.2">
      <c r="A67" t="str">
        <f t="shared" ref="A67:A130" si="1">B67&amp;C67&amp;D67&amp;E67&amp;F67</f>
        <v>TEMPLATEJAVA: Interface WebServiceASimplesComplexo</v>
      </c>
      <c r="B67" s="229" t="s">
        <v>225</v>
      </c>
      <c r="C67" s="229" t="s">
        <v>204</v>
      </c>
      <c r="D67" s="229" t="s">
        <v>25</v>
      </c>
      <c r="E67" s="229" t="s">
        <v>26</v>
      </c>
      <c r="F67" s="229" t="s">
        <v>76</v>
      </c>
      <c r="G67">
        <v>4</v>
      </c>
    </row>
    <row r="68" spans="1:7" hidden="1" x14ac:dyDescent="0.2">
      <c r="A68" t="str">
        <f t="shared" si="1"/>
        <v>TEMPLATEJAVA: Interface WebServiceAMédioSimples</v>
      </c>
      <c r="B68" s="229" t="s">
        <v>225</v>
      </c>
      <c r="C68" s="229" t="s">
        <v>204</v>
      </c>
      <c r="D68" s="229" t="s">
        <v>25</v>
      </c>
      <c r="E68" s="229" t="s">
        <v>75</v>
      </c>
      <c r="F68" s="229" t="s">
        <v>26</v>
      </c>
      <c r="G68">
        <v>2</v>
      </c>
    </row>
    <row r="69" spans="1:7" hidden="1" x14ac:dyDescent="0.2">
      <c r="A69" t="str">
        <f t="shared" si="1"/>
        <v>TEMPLATEJAVA: Interface WebServiceAMédioMédio</v>
      </c>
      <c r="B69" s="229" t="s">
        <v>225</v>
      </c>
      <c r="C69" s="229" t="s">
        <v>204</v>
      </c>
      <c r="D69" s="229" t="s">
        <v>25</v>
      </c>
      <c r="E69" s="229" t="s">
        <v>75</v>
      </c>
      <c r="F69" s="229" t="s">
        <v>75</v>
      </c>
      <c r="G69">
        <v>5</v>
      </c>
    </row>
    <row r="70" spans="1:7" hidden="1" x14ac:dyDescent="0.2">
      <c r="A70" t="str">
        <f t="shared" si="1"/>
        <v>TEMPLATEJAVA: Interface WebServiceAMédioComplexo</v>
      </c>
      <c r="B70" s="229" t="s">
        <v>225</v>
      </c>
      <c r="C70" s="229" t="s">
        <v>204</v>
      </c>
      <c r="D70" s="229" t="s">
        <v>25</v>
      </c>
      <c r="E70" s="229" t="s">
        <v>75</v>
      </c>
      <c r="F70" s="229" t="s">
        <v>76</v>
      </c>
      <c r="G70">
        <v>8</v>
      </c>
    </row>
    <row r="71" spans="1:7" hidden="1" x14ac:dyDescent="0.2">
      <c r="A71" t="str">
        <f t="shared" si="1"/>
        <v>TEMPLATEJAVA: Interface WebServiceAComplexoSimples</v>
      </c>
      <c r="B71" s="229" t="s">
        <v>225</v>
      </c>
      <c r="C71" s="229" t="s">
        <v>204</v>
      </c>
      <c r="D71" s="229" t="s">
        <v>25</v>
      </c>
      <c r="E71" s="229" t="s">
        <v>76</v>
      </c>
      <c r="F71" s="229" t="s">
        <v>26</v>
      </c>
      <c r="G71">
        <v>5</v>
      </c>
    </row>
    <row r="72" spans="1:7" hidden="1" x14ac:dyDescent="0.2">
      <c r="A72" t="str">
        <f t="shared" si="1"/>
        <v>TEMPLATEJAVA: Interface WebServiceAComplexoMédio</v>
      </c>
      <c r="B72" s="229" t="s">
        <v>225</v>
      </c>
      <c r="C72" s="229" t="s">
        <v>204</v>
      </c>
      <c r="D72" s="229" t="s">
        <v>25</v>
      </c>
      <c r="E72" s="229" t="s">
        <v>76</v>
      </c>
      <c r="F72" s="229" t="s">
        <v>75</v>
      </c>
      <c r="G72">
        <v>7</v>
      </c>
    </row>
    <row r="73" spans="1:7" hidden="1" x14ac:dyDescent="0.2">
      <c r="A73" t="str">
        <f t="shared" si="1"/>
        <v>TEMPLATEJAVA: Interface WebServiceAComplexoComplexo</v>
      </c>
      <c r="B73" s="229" t="s">
        <v>225</v>
      </c>
      <c r="C73" s="229" t="s">
        <v>204</v>
      </c>
      <c r="D73" s="229" t="s">
        <v>25</v>
      </c>
      <c r="E73" s="229" t="s">
        <v>76</v>
      </c>
      <c r="F73" s="229" t="s">
        <v>76</v>
      </c>
      <c r="G73">
        <v>9</v>
      </c>
    </row>
    <row r="74" spans="1:7" hidden="1" x14ac:dyDescent="0.2">
      <c r="A74" t="str">
        <f t="shared" si="1"/>
        <v>TEMPLATEJAVA: Transformação de ObjetosNSimples</v>
      </c>
      <c r="B74" s="229" t="s">
        <v>225</v>
      </c>
      <c r="C74" s="229" t="s">
        <v>205</v>
      </c>
      <c r="D74" s="229" t="s">
        <v>24</v>
      </c>
      <c r="E74" s="229" t="s">
        <v>26</v>
      </c>
      <c r="F74" s="229"/>
      <c r="G74">
        <v>1</v>
      </c>
    </row>
    <row r="75" spans="1:7" hidden="1" x14ac:dyDescent="0.2">
      <c r="A75" t="str">
        <f t="shared" si="1"/>
        <v>TEMPLATEJAVA: Transformação de ObjetosNMédio</v>
      </c>
      <c r="B75" s="229" t="s">
        <v>225</v>
      </c>
      <c r="C75" s="229" t="s">
        <v>205</v>
      </c>
      <c r="D75" s="229" t="s">
        <v>24</v>
      </c>
      <c r="E75" s="229" t="s">
        <v>75</v>
      </c>
      <c r="F75" s="229"/>
      <c r="G75">
        <v>3</v>
      </c>
    </row>
    <row r="76" spans="1:7" hidden="1" x14ac:dyDescent="0.2">
      <c r="A76" t="str">
        <f t="shared" si="1"/>
        <v>TEMPLATEJAVA: Transformação de ObjetosNComplexo</v>
      </c>
      <c r="B76" s="229" t="s">
        <v>225</v>
      </c>
      <c r="C76" s="229" t="s">
        <v>205</v>
      </c>
      <c r="D76" s="229" t="s">
        <v>24</v>
      </c>
      <c r="E76" s="229" t="s">
        <v>76</v>
      </c>
      <c r="F76" s="229"/>
      <c r="G76">
        <v>5</v>
      </c>
    </row>
    <row r="77" spans="1:7" hidden="1" x14ac:dyDescent="0.2">
      <c r="A77" t="str">
        <f t="shared" si="1"/>
        <v>TEMPLATEJAVA: Transformação de ObjetosASimplesSimples</v>
      </c>
      <c r="B77" s="229" t="s">
        <v>225</v>
      </c>
      <c r="C77" s="229" t="s">
        <v>205</v>
      </c>
      <c r="D77" s="229" t="s">
        <v>25</v>
      </c>
      <c r="E77" s="229" t="s">
        <v>26</v>
      </c>
      <c r="F77" s="229" t="s">
        <v>26</v>
      </c>
      <c r="G77">
        <v>1</v>
      </c>
    </row>
    <row r="78" spans="1:7" hidden="1" x14ac:dyDescent="0.2">
      <c r="A78" t="str">
        <f t="shared" si="1"/>
        <v>TEMPLATEJAVA: Transformação de ObjetosASimplesMédio</v>
      </c>
      <c r="B78" s="229" t="s">
        <v>225</v>
      </c>
      <c r="C78" s="229" t="s">
        <v>205</v>
      </c>
      <c r="D78" s="229" t="s">
        <v>25</v>
      </c>
      <c r="E78" s="229" t="s">
        <v>26</v>
      </c>
      <c r="F78" s="229" t="s">
        <v>75</v>
      </c>
      <c r="G78">
        <v>2</v>
      </c>
    </row>
    <row r="79" spans="1:7" hidden="1" x14ac:dyDescent="0.2">
      <c r="A79" t="str">
        <f t="shared" si="1"/>
        <v>TEMPLATEJAVA: Transformação de ObjetosASimplesComplexo</v>
      </c>
      <c r="B79" s="229" t="s">
        <v>225</v>
      </c>
      <c r="C79" s="229" t="s">
        <v>205</v>
      </c>
      <c r="D79" s="229" t="s">
        <v>25</v>
      </c>
      <c r="E79" s="229" t="s">
        <v>26</v>
      </c>
      <c r="F79" s="229" t="s">
        <v>76</v>
      </c>
      <c r="G79">
        <v>4</v>
      </c>
    </row>
    <row r="80" spans="1:7" hidden="1" x14ac:dyDescent="0.2">
      <c r="A80" t="str">
        <f t="shared" si="1"/>
        <v>TEMPLATEJAVA: Transformação de ObjetosAMédioSimples</v>
      </c>
      <c r="B80" s="229" t="s">
        <v>225</v>
      </c>
      <c r="C80" s="229" t="s">
        <v>205</v>
      </c>
      <c r="D80" s="229" t="s">
        <v>25</v>
      </c>
      <c r="E80" s="229" t="s">
        <v>75</v>
      </c>
      <c r="F80" s="229" t="s">
        <v>26</v>
      </c>
      <c r="G80">
        <v>3</v>
      </c>
    </row>
    <row r="81" spans="1:7" hidden="1" x14ac:dyDescent="0.2">
      <c r="A81" t="str">
        <f t="shared" si="1"/>
        <v>TEMPLATEJAVA: Transformação de ObjetosAMédioMédio</v>
      </c>
      <c r="B81" s="229" t="s">
        <v>225</v>
      </c>
      <c r="C81" s="229" t="s">
        <v>205</v>
      </c>
      <c r="D81" s="229" t="s">
        <v>25</v>
      </c>
      <c r="E81" s="229" t="s">
        <v>75</v>
      </c>
      <c r="F81" s="229" t="s">
        <v>75</v>
      </c>
      <c r="G81">
        <v>5</v>
      </c>
    </row>
    <row r="82" spans="1:7" hidden="1" x14ac:dyDescent="0.2">
      <c r="A82" t="str">
        <f t="shared" si="1"/>
        <v>TEMPLATEJAVA: Transformação de ObjetosAMédioComplexo</v>
      </c>
      <c r="B82" s="229" t="s">
        <v>225</v>
      </c>
      <c r="C82" s="229" t="s">
        <v>205</v>
      </c>
      <c r="D82" s="229" t="s">
        <v>25</v>
      </c>
      <c r="E82" s="229" t="s">
        <v>75</v>
      </c>
      <c r="F82" s="229" t="s">
        <v>76</v>
      </c>
      <c r="G82">
        <v>6</v>
      </c>
    </row>
    <row r="83" spans="1:7" hidden="1" x14ac:dyDescent="0.2">
      <c r="A83" t="str">
        <f t="shared" si="1"/>
        <v>TEMPLATEJAVA: Transformação de ObjetosAComplexoSimples</v>
      </c>
      <c r="B83" s="229" t="s">
        <v>225</v>
      </c>
      <c r="C83" s="229" t="s">
        <v>205</v>
      </c>
      <c r="D83" s="229" t="s">
        <v>25</v>
      </c>
      <c r="E83" s="229" t="s">
        <v>76</v>
      </c>
      <c r="F83" s="229" t="s">
        <v>26</v>
      </c>
      <c r="G83">
        <v>4</v>
      </c>
    </row>
    <row r="84" spans="1:7" hidden="1" x14ac:dyDescent="0.2">
      <c r="A84" t="str">
        <f t="shared" si="1"/>
        <v>TEMPLATEJAVA: Transformação de ObjetosAComplexoMédio</v>
      </c>
      <c r="B84" s="229" t="s">
        <v>225</v>
      </c>
      <c r="C84" s="229" t="s">
        <v>205</v>
      </c>
      <c r="D84" s="229" t="s">
        <v>25</v>
      </c>
      <c r="E84" s="229" t="s">
        <v>76</v>
      </c>
      <c r="F84" s="229" t="s">
        <v>75</v>
      </c>
      <c r="G84">
        <v>6</v>
      </c>
    </row>
    <row r="85" spans="1:7" hidden="1" x14ac:dyDescent="0.2">
      <c r="A85" t="str">
        <f t="shared" si="1"/>
        <v>TEMPLATEJAVA: Transformação de ObjetosAComplexoComplexo</v>
      </c>
      <c r="B85" s="229" t="s">
        <v>225</v>
      </c>
      <c r="C85" s="229" t="s">
        <v>205</v>
      </c>
      <c r="D85" s="229" t="s">
        <v>25</v>
      </c>
      <c r="E85" s="229" t="s">
        <v>76</v>
      </c>
      <c r="F85" s="229" t="s">
        <v>76</v>
      </c>
      <c r="G85">
        <v>8</v>
      </c>
    </row>
    <row r="86" spans="1:7" hidden="1" x14ac:dyDescent="0.2">
      <c r="A86" t="str">
        <f t="shared" si="1"/>
        <v>TEMPLATEJAVA: Métodos de Negócio (Controller)NSimples</v>
      </c>
      <c r="B86" s="229" t="s">
        <v>225</v>
      </c>
      <c r="C86" s="229" t="s">
        <v>206</v>
      </c>
      <c r="D86" s="229" t="s">
        <v>24</v>
      </c>
      <c r="E86" s="229" t="s">
        <v>26</v>
      </c>
      <c r="F86" s="229"/>
      <c r="G86">
        <v>8</v>
      </c>
    </row>
    <row r="87" spans="1:7" hidden="1" x14ac:dyDescent="0.2">
      <c r="A87" t="str">
        <f t="shared" si="1"/>
        <v>TEMPLATEJAVA: Métodos de Negócio (Controller)NMédio</v>
      </c>
      <c r="B87" s="229" t="s">
        <v>225</v>
      </c>
      <c r="C87" s="229" t="s">
        <v>206</v>
      </c>
      <c r="D87" s="229" t="s">
        <v>24</v>
      </c>
      <c r="E87" s="229" t="s">
        <v>75</v>
      </c>
      <c r="F87" s="229"/>
      <c r="G87">
        <v>16</v>
      </c>
    </row>
    <row r="88" spans="1:7" hidden="1" x14ac:dyDescent="0.2">
      <c r="A88" t="str">
        <f t="shared" si="1"/>
        <v>TEMPLATEJAVA: Métodos de Negócio (Controller)NComplexo</v>
      </c>
      <c r="B88" s="229" t="s">
        <v>225</v>
      </c>
      <c r="C88" s="229" t="s">
        <v>206</v>
      </c>
      <c r="D88" s="229" t="s">
        <v>24</v>
      </c>
      <c r="E88" s="229" t="s">
        <v>76</v>
      </c>
      <c r="F88" s="229"/>
      <c r="G88">
        <v>24</v>
      </c>
    </row>
    <row r="89" spans="1:7" hidden="1" x14ac:dyDescent="0.2">
      <c r="A89" t="str">
        <f t="shared" si="1"/>
        <v>TEMPLATEJAVA: Métodos de Negócio (Controller)ASimplesSimples</v>
      </c>
      <c r="B89" s="229" t="s">
        <v>225</v>
      </c>
      <c r="C89" s="229" t="s">
        <v>206</v>
      </c>
      <c r="D89" s="229" t="s">
        <v>25</v>
      </c>
      <c r="E89" s="229" t="s">
        <v>26</v>
      </c>
      <c r="F89" s="229" t="s">
        <v>26</v>
      </c>
      <c r="G89">
        <v>3</v>
      </c>
    </row>
    <row r="90" spans="1:7" hidden="1" x14ac:dyDescent="0.2">
      <c r="A90" t="str">
        <f t="shared" si="1"/>
        <v>TEMPLATEJAVA: Métodos de Negócio (Controller)ASimplesMédio</v>
      </c>
      <c r="B90" s="229" t="s">
        <v>225</v>
      </c>
      <c r="C90" s="229" t="s">
        <v>206</v>
      </c>
      <c r="D90" s="229" t="s">
        <v>25</v>
      </c>
      <c r="E90" s="229" t="s">
        <v>26</v>
      </c>
      <c r="F90" s="229" t="s">
        <v>75</v>
      </c>
      <c r="G90">
        <v>5</v>
      </c>
    </row>
    <row r="91" spans="1:7" hidden="1" x14ac:dyDescent="0.2">
      <c r="A91" t="str">
        <f t="shared" si="1"/>
        <v>TEMPLATEJAVA: Métodos de Negócio (Controller)ASimplesComplexo</v>
      </c>
      <c r="B91" s="229" t="s">
        <v>225</v>
      </c>
      <c r="C91" s="229" t="s">
        <v>206</v>
      </c>
      <c r="D91" s="229" t="s">
        <v>25</v>
      </c>
      <c r="E91" s="229" t="s">
        <v>26</v>
      </c>
      <c r="F91" s="229" t="s">
        <v>76</v>
      </c>
      <c r="G91">
        <v>7</v>
      </c>
    </row>
    <row r="92" spans="1:7" hidden="1" x14ac:dyDescent="0.2">
      <c r="A92" t="str">
        <f t="shared" si="1"/>
        <v>TEMPLATEJAVA: Métodos de Negócio (Controller)AMédioSimples</v>
      </c>
      <c r="B92" s="229" t="s">
        <v>225</v>
      </c>
      <c r="C92" s="229" t="s">
        <v>206</v>
      </c>
      <c r="D92" s="229" t="s">
        <v>25</v>
      </c>
      <c r="E92" s="229" t="s">
        <v>75</v>
      </c>
      <c r="F92" s="229" t="s">
        <v>26</v>
      </c>
      <c r="G92" s="229">
        <v>8</v>
      </c>
    </row>
    <row r="93" spans="1:7" hidden="1" x14ac:dyDescent="0.2">
      <c r="A93" t="str">
        <f t="shared" si="1"/>
        <v>TEMPLATEJAVA: Métodos de Negócio (Controller)AMédioMédio</v>
      </c>
      <c r="B93" s="229" t="s">
        <v>225</v>
      </c>
      <c r="C93" s="229" t="s">
        <v>206</v>
      </c>
      <c r="D93" s="229" t="s">
        <v>25</v>
      </c>
      <c r="E93" s="229" t="s">
        <v>75</v>
      </c>
      <c r="F93" s="229" t="s">
        <v>75</v>
      </c>
      <c r="G93">
        <v>10</v>
      </c>
    </row>
    <row r="94" spans="1:7" hidden="1" x14ac:dyDescent="0.2">
      <c r="A94" t="str">
        <f t="shared" si="1"/>
        <v>TEMPLATEJAVA: Métodos de Negócio (Controller)AMédioComplexo</v>
      </c>
      <c r="B94" s="229" t="s">
        <v>225</v>
      </c>
      <c r="C94" s="229" t="s">
        <v>206</v>
      </c>
      <c r="D94" s="229" t="s">
        <v>25</v>
      </c>
      <c r="E94" s="229" t="s">
        <v>75</v>
      </c>
      <c r="F94" s="229" t="s">
        <v>76</v>
      </c>
      <c r="G94">
        <v>14</v>
      </c>
    </row>
    <row r="95" spans="1:7" hidden="1" x14ac:dyDescent="0.2">
      <c r="A95" t="str">
        <f t="shared" si="1"/>
        <v>TEMPLATEJAVA: Métodos de Negócio (Controller)AComplexoSimples</v>
      </c>
      <c r="B95" s="229" t="s">
        <v>225</v>
      </c>
      <c r="C95" s="229" t="s">
        <v>206</v>
      </c>
      <c r="D95" s="229" t="s">
        <v>25</v>
      </c>
      <c r="E95" s="229" t="s">
        <v>76</v>
      </c>
      <c r="F95" s="229" t="s">
        <v>26</v>
      </c>
      <c r="G95">
        <v>6</v>
      </c>
    </row>
    <row r="96" spans="1:7" hidden="1" x14ac:dyDescent="0.2">
      <c r="A96" t="str">
        <f t="shared" si="1"/>
        <v>TEMPLATEJAVA: Métodos de Negócio (Controller)AComplexoMédio</v>
      </c>
      <c r="B96" s="229" t="s">
        <v>225</v>
      </c>
      <c r="C96" s="229" t="s">
        <v>206</v>
      </c>
      <c r="D96" s="229" t="s">
        <v>25</v>
      </c>
      <c r="E96" s="229" t="s">
        <v>76</v>
      </c>
      <c r="F96" s="229" t="s">
        <v>75</v>
      </c>
      <c r="G96">
        <v>10</v>
      </c>
    </row>
    <row r="97" spans="1:7" hidden="1" x14ac:dyDescent="0.2">
      <c r="A97" t="str">
        <f t="shared" si="1"/>
        <v>TEMPLATEJAVA: Métodos de Negócio (Controller)AComplexoComplexo</v>
      </c>
      <c r="B97" s="229" t="s">
        <v>225</v>
      </c>
      <c r="C97" s="229" t="s">
        <v>206</v>
      </c>
      <c r="D97" s="229" t="s">
        <v>25</v>
      </c>
      <c r="E97" s="229" t="s">
        <v>76</v>
      </c>
      <c r="F97" s="229" t="s">
        <v>76</v>
      </c>
      <c r="G97">
        <v>16</v>
      </c>
    </row>
    <row r="98" spans="1:7" hidden="1" x14ac:dyDescent="0.2">
      <c r="A98" t="str">
        <f t="shared" si="1"/>
        <v>TEMPLATEJAVA: EntityNSimples</v>
      </c>
      <c r="B98" s="229" t="s">
        <v>225</v>
      </c>
      <c r="C98" s="229" t="s">
        <v>207</v>
      </c>
      <c r="D98" s="229" t="s">
        <v>24</v>
      </c>
      <c r="E98" s="229" t="s">
        <v>26</v>
      </c>
      <c r="F98" s="229"/>
      <c r="G98">
        <v>1</v>
      </c>
    </row>
    <row r="99" spans="1:7" hidden="1" x14ac:dyDescent="0.2">
      <c r="A99" t="str">
        <f t="shared" si="1"/>
        <v>TEMPLATEJAVA: EntityNMédio</v>
      </c>
      <c r="B99" s="229" t="s">
        <v>225</v>
      </c>
      <c r="C99" s="229" t="s">
        <v>207</v>
      </c>
      <c r="D99" s="229" t="s">
        <v>24</v>
      </c>
      <c r="E99" s="229" t="s">
        <v>75</v>
      </c>
      <c r="F99" s="229"/>
      <c r="G99">
        <v>2</v>
      </c>
    </row>
    <row r="100" spans="1:7" hidden="1" x14ac:dyDescent="0.2">
      <c r="A100" t="str">
        <f t="shared" si="1"/>
        <v>TEMPLATEJAVA: EntityNComplexo</v>
      </c>
      <c r="B100" s="229" t="s">
        <v>225</v>
      </c>
      <c r="C100" s="229" t="s">
        <v>207</v>
      </c>
      <c r="D100" s="229" t="s">
        <v>24</v>
      </c>
      <c r="E100" s="229" t="s">
        <v>76</v>
      </c>
      <c r="F100" s="229"/>
      <c r="G100">
        <v>4</v>
      </c>
    </row>
    <row r="101" spans="1:7" hidden="1" x14ac:dyDescent="0.2">
      <c r="A101" t="str">
        <f t="shared" si="1"/>
        <v>TEMPLATEJAVA: EntityASimplesSimples</v>
      </c>
      <c r="B101" s="229" t="s">
        <v>225</v>
      </c>
      <c r="C101" s="229" t="s">
        <v>207</v>
      </c>
      <c r="D101" s="229" t="s">
        <v>25</v>
      </c>
      <c r="E101" s="229" t="s">
        <v>26</v>
      </c>
      <c r="F101" s="229" t="s">
        <v>26</v>
      </c>
      <c r="G101">
        <v>1</v>
      </c>
    </row>
    <row r="102" spans="1:7" hidden="1" x14ac:dyDescent="0.2">
      <c r="A102" t="str">
        <f t="shared" si="1"/>
        <v>TEMPLATEJAVA: EntityASimplesMédio</v>
      </c>
      <c r="B102" s="229" t="s">
        <v>225</v>
      </c>
      <c r="C102" s="229" t="s">
        <v>207</v>
      </c>
      <c r="D102" s="229" t="s">
        <v>25</v>
      </c>
      <c r="E102" s="229" t="s">
        <v>26</v>
      </c>
      <c r="F102" s="229" t="s">
        <v>75</v>
      </c>
      <c r="G102">
        <v>2</v>
      </c>
    </row>
    <row r="103" spans="1:7" hidden="1" x14ac:dyDescent="0.2">
      <c r="A103" t="str">
        <f t="shared" si="1"/>
        <v>TEMPLATEJAVA: EntityASimplesComplexo</v>
      </c>
      <c r="B103" s="229" t="s">
        <v>225</v>
      </c>
      <c r="C103" s="229" t="s">
        <v>207</v>
      </c>
      <c r="D103" s="229" t="s">
        <v>25</v>
      </c>
      <c r="E103" s="229" t="s">
        <v>26</v>
      </c>
      <c r="F103" s="229" t="s">
        <v>76</v>
      </c>
      <c r="G103">
        <v>3</v>
      </c>
    </row>
    <row r="104" spans="1:7" hidden="1" x14ac:dyDescent="0.2">
      <c r="A104" t="str">
        <f t="shared" si="1"/>
        <v>TEMPLATEJAVA: EntityAMédioSimples</v>
      </c>
      <c r="B104" s="229" t="s">
        <v>225</v>
      </c>
      <c r="C104" s="229" t="s">
        <v>207</v>
      </c>
      <c r="D104" s="229" t="s">
        <v>25</v>
      </c>
      <c r="E104" s="229" t="s">
        <v>75</v>
      </c>
      <c r="F104" s="229" t="s">
        <v>26</v>
      </c>
      <c r="G104">
        <v>2</v>
      </c>
    </row>
    <row r="105" spans="1:7" hidden="1" x14ac:dyDescent="0.2">
      <c r="A105" t="str">
        <f t="shared" si="1"/>
        <v>TEMPLATEJAVA: EntityAMédioMédio</v>
      </c>
      <c r="B105" s="229" t="s">
        <v>225</v>
      </c>
      <c r="C105" s="229" t="s">
        <v>207</v>
      </c>
      <c r="D105" s="229" t="s">
        <v>25</v>
      </c>
      <c r="E105" s="229" t="s">
        <v>75</v>
      </c>
      <c r="F105" s="229" t="s">
        <v>75</v>
      </c>
      <c r="G105">
        <v>3</v>
      </c>
    </row>
    <row r="106" spans="1:7" hidden="1" x14ac:dyDescent="0.2">
      <c r="A106" t="str">
        <f t="shared" si="1"/>
        <v>TEMPLATEJAVA: EntityAMédioComplexo</v>
      </c>
      <c r="B106" s="229" t="s">
        <v>225</v>
      </c>
      <c r="C106" s="229" t="s">
        <v>207</v>
      </c>
      <c r="D106" s="229" t="s">
        <v>25</v>
      </c>
      <c r="E106" s="229" t="s">
        <v>75</v>
      </c>
      <c r="F106" s="229" t="s">
        <v>76</v>
      </c>
      <c r="G106">
        <v>4</v>
      </c>
    </row>
    <row r="107" spans="1:7" hidden="1" x14ac:dyDescent="0.2">
      <c r="A107" t="str">
        <f t="shared" si="1"/>
        <v>TEMPLATEJAVA: EntityAComplexoSimples</v>
      </c>
      <c r="B107" s="229" t="s">
        <v>225</v>
      </c>
      <c r="C107" s="229" t="s">
        <v>207</v>
      </c>
      <c r="D107" s="229" t="s">
        <v>25</v>
      </c>
      <c r="E107" s="229" t="s">
        <v>76</v>
      </c>
      <c r="F107" s="229" t="s">
        <v>26</v>
      </c>
      <c r="G107">
        <v>3</v>
      </c>
    </row>
    <row r="108" spans="1:7" hidden="1" x14ac:dyDescent="0.2">
      <c r="A108" t="str">
        <f t="shared" si="1"/>
        <v>TEMPLATEJAVA: EntityAComplexoMédio</v>
      </c>
      <c r="B108" s="229" t="s">
        <v>225</v>
      </c>
      <c r="C108" s="229" t="s">
        <v>207</v>
      </c>
      <c r="D108" s="229" t="s">
        <v>25</v>
      </c>
      <c r="E108" s="229" t="s">
        <v>76</v>
      </c>
      <c r="F108" s="229" t="s">
        <v>75</v>
      </c>
      <c r="G108">
        <v>5</v>
      </c>
    </row>
    <row r="109" spans="1:7" hidden="1" x14ac:dyDescent="0.2">
      <c r="A109" t="str">
        <f t="shared" si="1"/>
        <v>TEMPLATEJAVA: EntityAComplexoComplexo</v>
      </c>
      <c r="B109" s="229" t="s">
        <v>225</v>
      </c>
      <c r="C109" s="229" t="s">
        <v>207</v>
      </c>
      <c r="D109" s="229" t="s">
        <v>25</v>
      </c>
      <c r="E109" s="229" t="s">
        <v>76</v>
      </c>
      <c r="F109" s="229" t="s">
        <v>76</v>
      </c>
      <c r="G109">
        <v>8</v>
      </c>
    </row>
    <row r="110" spans="1:7" hidden="1" x14ac:dyDescent="0.2">
      <c r="A110" t="str">
        <f t="shared" si="1"/>
        <v>TEMPLATEJAVA: Consulta Banco de DadosNSimples</v>
      </c>
      <c r="B110" s="229" t="s">
        <v>225</v>
      </c>
      <c r="C110" s="229" t="s">
        <v>208</v>
      </c>
      <c r="D110" s="229" t="s">
        <v>24</v>
      </c>
      <c r="E110" s="229" t="s">
        <v>26</v>
      </c>
      <c r="F110" s="229"/>
      <c r="G110">
        <v>2</v>
      </c>
    </row>
    <row r="111" spans="1:7" hidden="1" x14ac:dyDescent="0.2">
      <c r="A111" t="str">
        <f t="shared" si="1"/>
        <v>TEMPLATEJAVA: Consulta Banco de DadosNMédio</v>
      </c>
      <c r="B111" s="229" t="s">
        <v>225</v>
      </c>
      <c r="C111" s="229" t="s">
        <v>208</v>
      </c>
      <c r="D111" s="229" t="s">
        <v>24</v>
      </c>
      <c r="E111" s="229" t="s">
        <v>75</v>
      </c>
      <c r="F111" s="229"/>
      <c r="G111">
        <v>5</v>
      </c>
    </row>
    <row r="112" spans="1:7" hidden="1" x14ac:dyDescent="0.2">
      <c r="A112" t="str">
        <f t="shared" si="1"/>
        <v>TEMPLATEJAVA: Consulta Banco de DadosNComplexo</v>
      </c>
      <c r="B112" s="229" t="s">
        <v>225</v>
      </c>
      <c r="C112" s="229" t="s">
        <v>208</v>
      </c>
      <c r="D112" s="229" t="s">
        <v>24</v>
      </c>
      <c r="E112" s="229" t="s">
        <v>76</v>
      </c>
      <c r="F112" s="229"/>
      <c r="G112">
        <v>8</v>
      </c>
    </row>
    <row r="113" spans="1:7" hidden="1" x14ac:dyDescent="0.2">
      <c r="A113" t="str">
        <f t="shared" si="1"/>
        <v>TEMPLATEJAVA: Consulta Banco de DadosASimplesSimples</v>
      </c>
      <c r="B113" s="229" t="s">
        <v>225</v>
      </c>
      <c r="C113" s="229" t="s">
        <v>208</v>
      </c>
      <c r="D113" s="229" t="s">
        <v>25</v>
      </c>
      <c r="E113" s="229" t="s">
        <v>26</v>
      </c>
      <c r="F113" s="229" t="s">
        <v>26</v>
      </c>
      <c r="G113">
        <v>2</v>
      </c>
    </row>
    <row r="114" spans="1:7" hidden="1" x14ac:dyDescent="0.2">
      <c r="A114" t="str">
        <f t="shared" si="1"/>
        <v>TEMPLATEJAVA: Consulta Banco de DadosASimplesMédio</v>
      </c>
      <c r="B114" s="229" t="s">
        <v>225</v>
      </c>
      <c r="C114" s="229" t="s">
        <v>208</v>
      </c>
      <c r="D114" s="229" t="s">
        <v>25</v>
      </c>
      <c r="E114" s="229" t="s">
        <v>26</v>
      </c>
      <c r="F114" s="229" t="s">
        <v>75</v>
      </c>
      <c r="G114">
        <v>4</v>
      </c>
    </row>
    <row r="115" spans="1:7" hidden="1" x14ac:dyDescent="0.2">
      <c r="A115" t="str">
        <f t="shared" si="1"/>
        <v>TEMPLATEJAVA: Consulta Banco de DadosASimplesComplexo</v>
      </c>
      <c r="B115" s="229" t="s">
        <v>225</v>
      </c>
      <c r="C115" s="229" t="s">
        <v>208</v>
      </c>
      <c r="D115" s="229" t="s">
        <v>25</v>
      </c>
      <c r="E115" s="229" t="s">
        <v>26</v>
      </c>
      <c r="F115" s="229" t="s">
        <v>76</v>
      </c>
      <c r="G115">
        <v>6</v>
      </c>
    </row>
    <row r="116" spans="1:7" hidden="1" x14ac:dyDescent="0.2">
      <c r="A116" t="str">
        <f t="shared" si="1"/>
        <v>TEMPLATEJAVA: Consulta Banco de DadosAMédioSimples</v>
      </c>
      <c r="B116" s="229" t="s">
        <v>225</v>
      </c>
      <c r="C116" s="229" t="s">
        <v>208</v>
      </c>
      <c r="D116" s="229" t="s">
        <v>25</v>
      </c>
      <c r="E116" s="229" t="s">
        <v>75</v>
      </c>
      <c r="F116" s="229" t="s">
        <v>26</v>
      </c>
      <c r="G116">
        <v>3</v>
      </c>
    </row>
    <row r="117" spans="1:7" hidden="1" x14ac:dyDescent="0.2">
      <c r="A117" t="str">
        <f t="shared" si="1"/>
        <v>TEMPLATEJAVA: Consulta Banco de DadosAMédioMédio</v>
      </c>
      <c r="B117" s="229" t="s">
        <v>225</v>
      </c>
      <c r="C117" s="229" t="s">
        <v>208</v>
      </c>
      <c r="D117" s="229" t="s">
        <v>25</v>
      </c>
      <c r="E117" s="229" t="s">
        <v>75</v>
      </c>
      <c r="F117" s="229" t="s">
        <v>75</v>
      </c>
      <c r="G117">
        <v>6</v>
      </c>
    </row>
    <row r="118" spans="1:7" hidden="1" x14ac:dyDescent="0.2">
      <c r="A118" t="str">
        <f t="shared" si="1"/>
        <v>TEMPLATEJAVA: Consulta Banco de DadosAMédioComplexo</v>
      </c>
      <c r="B118" s="229" t="s">
        <v>225</v>
      </c>
      <c r="C118" s="229" t="s">
        <v>208</v>
      </c>
      <c r="D118" s="229" t="s">
        <v>25</v>
      </c>
      <c r="E118" s="229" t="s">
        <v>75</v>
      </c>
      <c r="F118" s="229" t="s">
        <v>76</v>
      </c>
      <c r="G118">
        <v>8</v>
      </c>
    </row>
    <row r="119" spans="1:7" hidden="1" x14ac:dyDescent="0.2">
      <c r="A119" t="str">
        <f t="shared" si="1"/>
        <v>TEMPLATEJAVA: Consulta Banco de DadosAComplexoSimples</v>
      </c>
      <c r="B119" s="229" t="s">
        <v>225</v>
      </c>
      <c r="C119" s="229" t="s">
        <v>208</v>
      </c>
      <c r="D119" s="229" t="s">
        <v>25</v>
      </c>
      <c r="E119" s="229" t="s">
        <v>76</v>
      </c>
      <c r="F119" s="229" t="s">
        <v>26</v>
      </c>
      <c r="G119">
        <v>5</v>
      </c>
    </row>
    <row r="120" spans="1:7" hidden="1" x14ac:dyDescent="0.2">
      <c r="A120" t="str">
        <f t="shared" si="1"/>
        <v>TEMPLATEJAVA: Consulta Banco de DadosAComplexoMédio</v>
      </c>
      <c r="B120" s="229" t="s">
        <v>225</v>
      </c>
      <c r="C120" s="229" t="s">
        <v>208</v>
      </c>
      <c r="D120" s="229" t="s">
        <v>25</v>
      </c>
      <c r="E120" s="229" t="s">
        <v>76</v>
      </c>
      <c r="F120" s="229" t="s">
        <v>75</v>
      </c>
      <c r="G120">
        <v>8</v>
      </c>
    </row>
    <row r="121" spans="1:7" hidden="1" x14ac:dyDescent="0.2">
      <c r="A121" t="str">
        <f t="shared" si="1"/>
        <v>TEMPLATEJAVA: Consulta Banco de DadosAComplexoComplexo</v>
      </c>
      <c r="B121" s="229" t="s">
        <v>225</v>
      </c>
      <c r="C121" s="229" t="s">
        <v>208</v>
      </c>
      <c r="D121" s="229" t="s">
        <v>25</v>
      </c>
      <c r="E121" s="229" t="s">
        <v>76</v>
      </c>
      <c r="F121" s="229" t="s">
        <v>76</v>
      </c>
      <c r="G121">
        <v>10</v>
      </c>
    </row>
    <row r="122" spans="1:7" hidden="1" x14ac:dyDescent="0.2">
      <c r="A122" t="str">
        <f t="shared" si="1"/>
        <v>TEMPLATEJAVA: Geração de StubsNSimples</v>
      </c>
      <c r="B122" s="229" t="s">
        <v>225</v>
      </c>
      <c r="C122" s="229" t="s">
        <v>209</v>
      </c>
      <c r="D122" s="229" t="s">
        <v>24</v>
      </c>
      <c r="E122" s="229" t="s">
        <v>26</v>
      </c>
      <c r="F122" s="229"/>
      <c r="G122">
        <v>1</v>
      </c>
    </row>
    <row r="123" spans="1:7" hidden="1" x14ac:dyDescent="0.2">
      <c r="A123" t="str">
        <f t="shared" si="1"/>
        <v>TEMPLATEJAVA: Geração de StubsNMédio</v>
      </c>
      <c r="B123" s="229" t="s">
        <v>225</v>
      </c>
      <c r="C123" s="229" t="s">
        <v>209</v>
      </c>
      <c r="D123" s="229" t="s">
        <v>24</v>
      </c>
      <c r="E123" s="229" t="s">
        <v>75</v>
      </c>
      <c r="F123" s="229"/>
      <c r="G123">
        <v>3</v>
      </c>
    </row>
    <row r="124" spans="1:7" hidden="1" x14ac:dyDescent="0.2">
      <c r="A124" t="str">
        <f t="shared" si="1"/>
        <v>TEMPLATEJAVA: Geração de StubsNComplexo</v>
      </c>
      <c r="B124" s="229" t="s">
        <v>225</v>
      </c>
      <c r="C124" s="229" t="s">
        <v>209</v>
      </c>
      <c r="D124" s="229" t="s">
        <v>24</v>
      </c>
      <c r="E124" s="229" t="s">
        <v>76</v>
      </c>
      <c r="F124" s="229"/>
      <c r="G124">
        <v>8</v>
      </c>
    </row>
    <row r="125" spans="1:7" hidden="1" x14ac:dyDescent="0.2">
      <c r="A125" t="str">
        <f t="shared" si="1"/>
        <v>TEMPLATEJAVA: Geração de StubsASimplesSimples</v>
      </c>
      <c r="B125" s="229" t="s">
        <v>225</v>
      </c>
      <c r="C125" s="229" t="s">
        <v>209</v>
      </c>
      <c r="D125" s="229" t="s">
        <v>25</v>
      </c>
      <c r="E125" s="229" t="s">
        <v>26</v>
      </c>
      <c r="F125" s="229" t="s">
        <v>26</v>
      </c>
      <c r="G125">
        <v>1</v>
      </c>
    </row>
    <row r="126" spans="1:7" hidden="1" x14ac:dyDescent="0.2">
      <c r="A126" t="str">
        <f t="shared" si="1"/>
        <v>TEMPLATEJAVA: Geração de StubsASimplesMédio</v>
      </c>
      <c r="B126" s="229" t="s">
        <v>225</v>
      </c>
      <c r="C126" s="229" t="s">
        <v>209</v>
      </c>
      <c r="D126" s="229" t="s">
        <v>25</v>
      </c>
      <c r="E126" s="229" t="s">
        <v>26</v>
      </c>
      <c r="F126" s="229" t="s">
        <v>75</v>
      </c>
      <c r="G126">
        <v>2</v>
      </c>
    </row>
    <row r="127" spans="1:7" hidden="1" x14ac:dyDescent="0.2">
      <c r="A127" t="str">
        <f t="shared" si="1"/>
        <v>TEMPLATEJAVA: Geração de StubsASimplesComplexo</v>
      </c>
      <c r="B127" s="229" t="s">
        <v>225</v>
      </c>
      <c r="C127" s="229" t="s">
        <v>209</v>
      </c>
      <c r="D127" s="229" t="s">
        <v>25</v>
      </c>
      <c r="E127" s="229" t="s">
        <v>26</v>
      </c>
      <c r="F127" s="229" t="s">
        <v>76</v>
      </c>
      <c r="G127">
        <v>3</v>
      </c>
    </row>
    <row r="128" spans="1:7" hidden="1" x14ac:dyDescent="0.2">
      <c r="A128" t="str">
        <f t="shared" si="1"/>
        <v>TEMPLATEJAVA: Geração de StubsAMédioSimples</v>
      </c>
      <c r="B128" s="229" t="s">
        <v>225</v>
      </c>
      <c r="C128" s="229" t="s">
        <v>209</v>
      </c>
      <c r="D128" s="229" t="s">
        <v>25</v>
      </c>
      <c r="E128" s="229" t="s">
        <v>75</v>
      </c>
      <c r="F128" s="229" t="s">
        <v>26</v>
      </c>
      <c r="G128">
        <v>2</v>
      </c>
    </row>
    <row r="129" spans="1:7" hidden="1" x14ac:dyDescent="0.2">
      <c r="A129" t="str">
        <f t="shared" si="1"/>
        <v>TEMPLATEJAVA: Geração de StubsAMédioMédio</v>
      </c>
      <c r="B129" s="229" t="s">
        <v>225</v>
      </c>
      <c r="C129" s="229" t="s">
        <v>209</v>
      </c>
      <c r="D129" s="229" t="s">
        <v>25</v>
      </c>
      <c r="E129" s="229" t="s">
        <v>75</v>
      </c>
      <c r="F129" s="229" t="s">
        <v>75</v>
      </c>
      <c r="G129">
        <v>3</v>
      </c>
    </row>
    <row r="130" spans="1:7" hidden="1" x14ac:dyDescent="0.2">
      <c r="A130" t="str">
        <f t="shared" si="1"/>
        <v>TEMPLATEJAVA: Geração de StubsAMédioComplexo</v>
      </c>
      <c r="B130" s="229" t="s">
        <v>225</v>
      </c>
      <c r="C130" s="229" t="s">
        <v>209</v>
      </c>
      <c r="D130" s="229" t="s">
        <v>25</v>
      </c>
      <c r="E130" s="229" t="s">
        <v>75</v>
      </c>
      <c r="F130" s="229" t="s">
        <v>76</v>
      </c>
      <c r="G130">
        <v>5</v>
      </c>
    </row>
    <row r="131" spans="1:7" hidden="1" x14ac:dyDescent="0.2">
      <c r="A131" t="str">
        <f t="shared" ref="A131:A194" si="2">B131&amp;C131&amp;D131&amp;E131&amp;F131</f>
        <v>TEMPLATEJAVA: Geração de StubsAComplexoSimples</v>
      </c>
      <c r="B131" s="229" t="s">
        <v>225</v>
      </c>
      <c r="C131" s="229" t="s">
        <v>209</v>
      </c>
      <c r="D131" s="229" t="s">
        <v>25</v>
      </c>
      <c r="E131" s="229" t="s">
        <v>76</v>
      </c>
      <c r="F131" s="229" t="s">
        <v>26</v>
      </c>
      <c r="G131">
        <v>4</v>
      </c>
    </row>
    <row r="132" spans="1:7" hidden="1" x14ac:dyDescent="0.2">
      <c r="A132" t="str">
        <f t="shared" si="2"/>
        <v>TEMPLATEJAVA: Geração de StubsAComplexoMédio</v>
      </c>
      <c r="B132" s="229" t="s">
        <v>225</v>
      </c>
      <c r="C132" s="229" t="s">
        <v>209</v>
      </c>
      <c r="D132" s="229" t="s">
        <v>25</v>
      </c>
      <c r="E132" s="229" t="s">
        <v>76</v>
      </c>
      <c r="F132" s="229" t="s">
        <v>75</v>
      </c>
      <c r="G132">
        <v>6</v>
      </c>
    </row>
    <row r="133" spans="1:7" hidden="1" x14ac:dyDescent="0.2">
      <c r="A133" t="str">
        <f t="shared" si="2"/>
        <v>TEMPLATEJAVA: Geração de StubsAComplexoComplexo</v>
      </c>
      <c r="B133" s="229" t="s">
        <v>225</v>
      </c>
      <c r="C133" s="229" t="s">
        <v>209</v>
      </c>
      <c r="D133" s="229" t="s">
        <v>25</v>
      </c>
      <c r="E133" s="229" t="s">
        <v>76</v>
      </c>
      <c r="F133" s="229" t="s">
        <v>76</v>
      </c>
      <c r="G133">
        <v>8</v>
      </c>
    </row>
    <row r="134" spans="1:7" hidden="1" x14ac:dyDescent="0.2">
      <c r="A134" t="str">
        <f t="shared" si="2"/>
        <v>TEMPLATEJSPNSimples</v>
      </c>
      <c r="B134" s="229" t="s">
        <v>225</v>
      </c>
      <c r="C134" s="229" t="s">
        <v>210</v>
      </c>
      <c r="D134" s="229" t="s">
        <v>24</v>
      </c>
      <c r="E134" s="229" t="s">
        <v>26</v>
      </c>
      <c r="F134" s="229"/>
      <c r="G134">
        <v>12</v>
      </c>
    </row>
    <row r="135" spans="1:7" hidden="1" x14ac:dyDescent="0.2">
      <c r="A135" t="str">
        <f t="shared" si="2"/>
        <v>TEMPLATEJSPNMédio</v>
      </c>
      <c r="B135" s="229" t="s">
        <v>225</v>
      </c>
      <c r="C135" s="229" t="s">
        <v>210</v>
      </c>
      <c r="D135" s="229" t="s">
        <v>24</v>
      </c>
      <c r="E135" s="229" t="s">
        <v>75</v>
      </c>
      <c r="F135" s="229"/>
      <c r="G135">
        <v>18</v>
      </c>
    </row>
    <row r="136" spans="1:7" hidden="1" x14ac:dyDescent="0.2">
      <c r="A136" t="str">
        <f t="shared" si="2"/>
        <v>TEMPLATEJSPNComplexo</v>
      </c>
      <c r="B136" s="229" t="s">
        <v>225</v>
      </c>
      <c r="C136" s="229" t="s">
        <v>210</v>
      </c>
      <c r="D136" s="229" t="s">
        <v>24</v>
      </c>
      <c r="E136" s="229" t="s">
        <v>76</v>
      </c>
      <c r="F136" s="229"/>
      <c r="G136">
        <v>24</v>
      </c>
    </row>
    <row r="137" spans="1:7" hidden="1" x14ac:dyDescent="0.2">
      <c r="A137" t="str">
        <f t="shared" si="2"/>
        <v>TEMPLATEJSPASimplesSimples</v>
      </c>
      <c r="B137" s="229" t="s">
        <v>225</v>
      </c>
      <c r="C137" s="229" t="s">
        <v>210</v>
      </c>
      <c r="D137" s="229" t="s">
        <v>25</v>
      </c>
      <c r="E137" s="229" t="s">
        <v>26</v>
      </c>
      <c r="F137" s="229" t="s">
        <v>26</v>
      </c>
      <c r="G137">
        <v>5</v>
      </c>
    </row>
    <row r="138" spans="1:7" hidden="1" x14ac:dyDescent="0.2">
      <c r="A138" t="str">
        <f t="shared" si="2"/>
        <v>TEMPLATEJSPASimplesMédio</v>
      </c>
      <c r="B138" s="229" t="s">
        <v>225</v>
      </c>
      <c r="C138" s="229" t="s">
        <v>210</v>
      </c>
      <c r="D138" s="229" t="s">
        <v>25</v>
      </c>
      <c r="E138" s="229" t="s">
        <v>26</v>
      </c>
      <c r="F138" s="229" t="s">
        <v>75</v>
      </c>
      <c r="G138">
        <v>8</v>
      </c>
    </row>
    <row r="139" spans="1:7" hidden="1" x14ac:dyDescent="0.2">
      <c r="A139" t="str">
        <f t="shared" si="2"/>
        <v>TEMPLATEJSPASimplesComplexo</v>
      </c>
      <c r="B139" s="229" t="s">
        <v>225</v>
      </c>
      <c r="C139" s="229" t="s">
        <v>210</v>
      </c>
      <c r="D139" s="229" t="s">
        <v>25</v>
      </c>
      <c r="E139" s="229" t="s">
        <v>26</v>
      </c>
      <c r="F139" s="229" t="s">
        <v>76</v>
      </c>
      <c r="G139">
        <v>10</v>
      </c>
    </row>
    <row r="140" spans="1:7" hidden="1" x14ac:dyDescent="0.2">
      <c r="A140" t="str">
        <f t="shared" si="2"/>
        <v>TEMPLATEJSPAMédioSimples</v>
      </c>
      <c r="B140" s="229" t="s">
        <v>225</v>
      </c>
      <c r="C140" s="229" t="s">
        <v>210</v>
      </c>
      <c r="D140" s="229" t="s">
        <v>25</v>
      </c>
      <c r="E140" s="229" t="s">
        <v>75</v>
      </c>
      <c r="F140" s="229" t="s">
        <v>26</v>
      </c>
      <c r="G140">
        <v>8</v>
      </c>
    </row>
    <row r="141" spans="1:7" hidden="1" x14ac:dyDescent="0.2">
      <c r="A141" t="str">
        <f t="shared" si="2"/>
        <v>TEMPLATEJSPAMédioMédio</v>
      </c>
      <c r="B141" s="229" t="s">
        <v>225</v>
      </c>
      <c r="C141" s="229" t="s">
        <v>210</v>
      </c>
      <c r="D141" s="229" t="s">
        <v>25</v>
      </c>
      <c r="E141" s="229" t="s">
        <v>75</v>
      </c>
      <c r="F141" s="229" t="s">
        <v>75</v>
      </c>
      <c r="G141">
        <v>10</v>
      </c>
    </row>
    <row r="142" spans="1:7" hidden="1" x14ac:dyDescent="0.2">
      <c r="A142" t="str">
        <f t="shared" si="2"/>
        <v>TEMPLATEJSPAMédioComplexo</v>
      </c>
      <c r="B142" s="229" t="s">
        <v>225</v>
      </c>
      <c r="C142" s="229" t="s">
        <v>210</v>
      </c>
      <c r="D142" s="229" t="s">
        <v>25</v>
      </c>
      <c r="E142" s="229" t="s">
        <v>75</v>
      </c>
      <c r="F142" s="229" t="s">
        <v>76</v>
      </c>
      <c r="G142">
        <v>12</v>
      </c>
    </row>
    <row r="143" spans="1:7" hidden="1" x14ac:dyDescent="0.2">
      <c r="A143" t="str">
        <f t="shared" si="2"/>
        <v>TEMPLATEJSPAComplexoSimples</v>
      </c>
      <c r="B143" s="229" t="s">
        <v>225</v>
      </c>
      <c r="C143" s="229" t="s">
        <v>210</v>
      </c>
      <c r="D143" s="229" t="s">
        <v>25</v>
      </c>
      <c r="E143" s="229" t="s">
        <v>76</v>
      </c>
      <c r="F143" s="229" t="s">
        <v>26</v>
      </c>
      <c r="G143">
        <v>6</v>
      </c>
    </row>
    <row r="144" spans="1:7" hidden="1" x14ac:dyDescent="0.2">
      <c r="A144" t="str">
        <f t="shared" si="2"/>
        <v>TEMPLATEJSPAComplexoMédio</v>
      </c>
      <c r="B144" s="229" t="s">
        <v>225</v>
      </c>
      <c r="C144" s="229" t="s">
        <v>210</v>
      </c>
      <c r="D144" s="229" t="s">
        <v>25</v>
      </c>
      <c r="E144" s="229" t="s">
        <v>76</v>
      </c>
      <c r="F144" s="229" t="s">
        <v>75</v>
      </c>
      <c r="G144">
        <v>12</v>
      </c>
    </row>
    <row r="145" spans="1:7" hidden="1" x14ac:dyDescent="0.2">
      <c r="A145" t="str">
        <f t="shared" si="2"/>
        <v>TEMPLATEJSPAComplexoComplexo</v>
      </c>
      <c r="B145" s="229" t="s">
        <v>225</v>
      </c>
      <c r="C145" s="229" t="s">
        <v>210</v>
      </c>
      <c r="D145" s="229" t="s">
        <v>25</v>
      </c>
      <c r="E145" s="229" t="s">
        <v>76</v>
      </c>
      <c r="F145" s="229" t="s">
        <v>76</v>
      </c>
      <c r="G145">
        <v>22</v>
      </c>
    </row>
    <row r="146" spans="1:7" hidden="1" x14ac:dyDescent="0.2">
      <c r="A146" t="str">
        <f t="shared" si="2"/>
        <v>TEMPLATEConfiguração Projeto/MóduloNSimples</v>
      </c>
      <c r="B146" s="229" t="s">
        <v>225</v>
      </c>
      <c r="C146" s="229" t="s">
        <v>221</v>
      </c>
      <c r="D146" s="229" t="s">
        <v>24</v>
      </c>
      <c r="E146" s="229" t="s">
        <v>26</v>
      </c>
      <c r="F146" s="229"/>
      <c r="G146">
        <v>2</v>
      </c>
    </row>
    <row r="147" spans="1:7" hidden="1" x14ac:dyDescent="0.2">
      <c r="A147" t="str">
        <f t="shared" si="2"/>
        <v>TEMPLATEConfiguração Projeto/MóduloNMédio</v>
      </c>
      <c r="B147" s="229" t="s">
        <v>225</v>
      </c>
      <c r="C147" s="229" t="s">
        <v>221</v>
      </c>
      <c r="D147" s="229" t="s">
        <v>24</v>
      </c>
      <c r="E147" s="229" t="s">
        <v>75</v>
      </c>
      <c r="F147" s="229"/>
      <c r="G147">
        <v>4</v>
      </c>
    </row>
    <row r="148" spans="1:7" hidden="1" x14ac:dyDescent="0.2">
      <c r="A148" t="str">
        <f t="shared" si="2"/>
        <v>TEMPLATEConfiguração Projeto/MóduloNComplexo</v>
      </c>
      <c r="B148" s="229" t="s">
        <v>225</v>
      </c>
      <c r="C148" s="229" t="s">
        <v>221</v>
      </c>
      <c r="D148" s="229" t="s">
        <v>24</v>
      </c>
      <c r="E148" s="229" t="s">
        <v>76</v>
      </c>
      <c r="F148" s="229"/>
      <c r="G148">
        <v>8</v>
      </c>
    </row>
    <row r="149" spans="1:7" hidden="1" x14ac:dyDescent="0.2">
      <c r="A149" t="str">
        <f t="shared" si="2"/>
        <v>TEMPLATEConfiguração Projeto/MóduloASimplesSimples</v>
      </c>
      <c r="B149" s="229" t="s">
        <v>225</v>
      </c>
      <c r="C149" s="229" t="s">
        <v>221</v>
      </c>
      <c r="D149" s="229" t="s">
        <v>25</v>
      </c>
      <c r="E149" s="229" t="s">
        <v>26</v>
      </c>
      <c r="F149" s="229" t="s">
        <v>26</v>
      </c>
      <c r="G149">
        <v>1</v>
      </c>
    </row>
    <row r="150" spans="1:7" hidden="1" x14ac:dyDescent="0.2">
      <c r="A150" t="str">
        <f t="shared" si="2"/>
        <v>TEMPLATEConfiguração Projeto/MóduloASimplesMédio</v>
      </c>
      <c r="B150" s="229" t="s">
        <v>225</v>
      </c>
      <c r="C150" s="229" t="s">
        <v>221</v>
      </c>
      <c r="D150" s="229" t="s">
        <v>25</v>
      </c>
      <c r="E150" s="229" t="s">
        <v>26</v>
      </c>
      <c r="F150" s="229" t="s">
        <v>75</v>
      </c>
      <c r="G150">
        <v>2</v>
      </c>
    </row>
    <row r="151" spans="1:7" hidden="1" x14ac:dyDescent="0.2">
      <c r="A151" t="str">
        <f t="shared" si="2"/>
        <v>TEMPLATEConfiguração Projeto/MóduloASimplesComplexo</v>
      </c>
      <c r="B151" s="229" t="s">
        <v>225</v>
      </c>
      <c r="C151" s="229" t="s">
        <v>221</v>
      </c>
      <c r="D151" s="229" t="s">
        <v>25</v>
      </c>
      <c r="E151" s="229" t="s">
        <v>26</v>
      </c>
      <c r="F151" s="229" t="s">
        <v>76</v>
      </c>
      <c r="G151">
        <v>4</v>
      </c>
    </row>
    <row r="152" spans="1:7" hidden="1" x14ac:dyDescent="0.2">
      <c r="A152" t="str">
        <f t="shared" si="2"/>
        <v>TEMPLATEConfiguração Projeto/MóduloAMédioSimples</v>
      </c>
      <c r="B152" s="229" t="s">
        <v>225</v>
      </c>
      <c r="C152" s="229" t="s">
        <v>221</v>
      </c>
      <c r="D152" s="229" t="s">
        <v>25</v>
      </c>
      <c r="E152" s="229" t="s">
        <v>75</v>
      </c>
      <c r="F152" s="229" t="s">
        <v>26</v>
      </c>
      <c r="G152">
        <v>2</v>
      </c>
    </row>
    <row r="153" spans="1:7" hidden="1" x14ac:dyDescent="0.2">
      <c r="A153" t="str">
        <f t="shared" si="2"/>
        <v>TEMPLATEConfiguração Projeto/MóduloAMédioMédio</v>
      </c>
      <c r="B153" s="229" t="s">
        <v>225</v>
      </c>
      <c r="C153" s="229" t="s">
        <v>221</v>
      </c>
      <c r="D153" s="229" t="s">
        <v>25</v>
      </c>
      <c r="E153" s="229" t="s">
        <v>75</v>
      </c>
      <c r="F153" s="229" t="s">
        <v>75</v>
      </c>
      <c r="G153">
        <v>4</v>
      </c>
    </row>
    <row r="154" spans="1:7" hidden="1" x14ac:dyDescent="0.2">
      <c r="A154" t="str">
        <f t="shared" si="2"/>
        <v>TEMPLATEConfiguração Projeto/MóduloAMédioComplexo</v>
      </c>
      <c r="B154" s="229" t="s">
        <v>225</v>
      </c>
      <c r="C154" s="229" t="s">
        <v>221</v>
      </c>
      <c r="D154" s="229" t="s">
        <v>25</v>
      </c>
      <c r="E154" s="229" t="s">
        <v>75</v>
      </c>
      <c r="F154" s="229" t="s">
        <v>76</v>
      </c>
      <c r="G154">
        <v>5</v>
      </c>
    </row>
    <row r="155" spans="1:7" hidden="1" x14ac:dyDescent="0.2">
      <c r="A155" t="str">
        <f t="shared" si="2"/>
        <v>TEMPLATEConfiguração Projeto/MóduloAComplexoSimples</v>
      </c>
      <c r="B155" s="229" t="s">
        <v>225</v>
      </c>
      <c r="C155" s="229" t="s">
        <v>221</v>
      </c>
      <c r="D155" s="229" t="s">
        <v>25</v>
      </c>
      <c r="E155" s="229" t="s">
        <v>76</v>
      </c>
      <c r="F155" s="229" t="s">
        <v>26</v>
      </c>
      <c r="G155">
        <v>5</v>
      </c>
    </row>
    <row r="156" spans="1:7" hidden="1" x14ac:dyDescent="0.2">
      <c r="A156" t="str">
        <f t="shared" si="2"/>
        <v>TEMPLATEConfiguração Projeto/MóduloAComplexoMédio</v>
      </c>
      <c r="B156" s="229" t="s">
        <v>225</v>
      </c>
      <c r="C156" s="229" t="s">
        <v>221</v>
      </c>
      <c r="D156" s="229" t="s">
        <v>25</v>
      </c>
      <c r="E156" s="229" t="s">
        <v>76</v>
      </c>
      <c r="F156" s="229" t="s">
        <v>75</v>
      </c>
      <c r="G156">
        <v>7</v>
      </c>
    </row>
    <row r="157" spans="1:7" hidden="1" x14ac:dyDescent="0.2">
      <c r="A157" t="str">
        <f t="shared" si="2"/>
        <v>TEMPLATEConfiguração Projeto/MóduloAComplexoComplexo</v>
      </c>
      <c r="B157" s="229" t="s">
        <v>225</v>
      </c>
      <c r="C157" s="229" t="s">
        <v>221</v>
      </c>
      <c r="D157" s="229" t="s">
        <v>25</v>
      </c>
      <c r="E157" s="229" t="s">
        <v>76</v>
      </c>
      <c r="F157" s="229" t="s">
        <v>76</v>
      </c>
      <c r="G157">
        <v>8</v>
      </c>
    </row>
    <row r="158" spans="1:7" hidden="1" x14ac:dyDescent="0.2">
      <c r="A158" t="str">
        <f t="shared" si="2"/>
        <v>Configurador OnlineRegraDroolsNSimples</v>
      </c>
      <c r="B158" s="229" t="s">
        <v>228</v>
      </c>
      <c r="C158" s="229" t="s">
        <v>218</v>
      </c>
      <c r="D158" s="229" t="s">
        <v>24</v>
      </c>
      <c r="E158" s="229" t="s">
        <v>26</v>
      </c>
      <c r="F158" s="229"/>
      <c r="G158">
        <v>3</v>
      </c>
    </row>
    <row r="159" spans="1:7" hidden="1" x14ac:dyDescent="0.2">
      <c r="A159" t="str">
        <f t="shared" si="2"/>
        <v>Configurador OnlineRegraDroolsNMédio</v>
      </c>
      <c r="B159" s="229" t="s">
        <v>228</v>
      </c>
      <c r="C159" s="229" t="s">
        <v>218</v>
      </c>
      <c r="D159" s="229" t="s">
        <v>24</v>
      </c>
      <c r="E159" s="229" t="s">
        <v>75</v>
      </c>
      <c r="F159" s="229"/>
      <c r="G159">
        <v>5</v>
      </c>
    </row>
    <row r="160" spans="1:7" hidden="1" x14ac:dyDescent="0.2">
      <c r="A160" t="str">
        <f t="shared" si="2"/>
        <v>Configurador OnlineRegraDroolsNComplexo</v>
      </c>
      <c r="B160" s="229" t="s">
        <v>228</v>
      </c>
      <c r="C160" s="229" t="s">
        <v>218</v>
      </c>
      <c r="D160" s="229" t="s">
        <v>24</v>
      </c>
      <c r="E160" s="229" t="s">
        <v>76</v>
      </c>
      <c r="F160" s="229"/>
      <c r="G160">
        <v>9</v>
      </c>
    </row>
    <row r="161" spans="1:7" hidden="1" x14ac:dyDescent="0.2">
      <c r="A161" t="str">
        <f t="shared" si="2"/>
        <v>Configurador OnlineRegraDroolsASimplesSimples</v>
      </c>
      <c r="B161" s="229" t="s">
        <v>228</v>
      </c>
      <c r="C161" s="229" t="s">
        <v>218</v>
      </c>
      <c r="D161" s="229" t="s">
        <v>25</v>
      </c>
      <c r="E161" s="229" t="s">
        <v>26</v>
      </c>
      <c r="F161" s="229" t="s">
        <v>26</v>
      </c>
      <c r="G161">
        <v>2</v>
      </c>
    </row>
    <row r="162" spans="1:7" hidden="1" x14ac:dyDescent="0.2">
      <c r="A162" t="str">
        <f t="shared" si="2"/>
        <v>Configurador OnlineRegraDroolsASimplesMédio</v>
      </c>
      <c r="B162" s="229" t="s">
        <v>228</v>
      </c>
      <c r="C162" s="229" t="s">
        <v>218</v>
      </c>
      <c r="D162" s="229" t="s">
        <v>25</v>
      </c>
      <c r="E162" s="229" t="s">
        <v>26</v>
      </c>
      <c r="F162" s="229" t="s">
        <v>75</v>
      </c>
      <c r="G162">
        <v>4</v>
      </c>
    </row>
    <row r="163" spans="1:7" hidden="1" x14ac:dyDescent="0.2">
      <c r="A163" t="str">
        <f t="shared" si="2"/>
        <v>Configurador OnlineRegraDroolsASimplesComplexo</v>
      </c>
      <c r="B163" s="229" t="s">
        <v>228</v>
      </c>
      <c r="C163" s="229" t="s">
        <v>218</v>
      </c>
      <c r="D163" s="229" t="s">
        <v>25</v>
      </c>
      <c r="E163" s="229" t="s">
        <v>26</v>
      </c>
      <c r="F163" s="229" t="s">
        <v>76</v>
      </c>
      <c r="G163">
        <v>6</v>
      </c>
    </row>
    <row r="164" spans="1:7" hidden="1" x14ac:dyDescent="0.2">
      <c r="A164" t="str">
        <f t="shared" si="2"/>
        <v>Configurador OnlineRegraDroolsAMédioSimples</v>
      </c>
      <c r="B164" s="229" t="s">
        <v>228</v>
      </c>
      <c r="C164" s="229" t="s">
        <v>218</v>
      </c>
      <c r="D164" s="229" t="s">
        <v>25</v>
      </c>
      <c r="E164" s="229" t="s">
        <v>75</v>
      </c>
      <c r="F164" s="229" t="s">
        <v>26</v>
      </c>
      <c r="G164">
        <v>3</v>
      </c>
    </row>
    <row r="165" spans="1:7" hidden="1" x14ac:dyDescent="0.2">
      <c r="A165" t="str">
        <f t="shared" si="2"/>
        <v>Configurador OnlineRegraDroolsAMédioMédio</v>
      </c>
      <c r="B165" s="229" t="s">
        <v>228</v>
      </c>
      <c r="C165" s="229" t="s">
        <v>218</v>
      </c>
      <c r="D165" s="229" t="s">
        <v>25</v>
      </c>
      <c r="E165" s="229" t="s">
        <v>75</v>
      </c>
      <c r="F165" s="229" t="s">
        <v>75</v>
      </c>
      <c r="G165">
        <v>6</v>
      </c>
    </row>
    <row r="166" spans="1:7" hidden="1" x14ac:dyDescent="0.2">
      <c r="A166" t="str">
        <f t="shared" si="2"/>
        <v>Configurador OnlineRegraDroolsAMédioComplexo</v>
      </c>
      <c r="B166" s="229" t="s">
        <v>228</v>
      </c>
      <c r="C166" s="229" t="s">
        <v>218</v>
      </c>
      <c r="D166" s="229" t="s">
        <v>25</v>
      </c>
      <c r="E166" s="229" t="s">
        <v>75</v>
      </c>
      <c r="F166" s="229" t="s">
        <v>76</v>
      </c>
      <c r="G166">
        <v>8</v>
      </c>
    </row>
    <row r="167" spans="1:7" hidden="1" x14ac:dyDescent="0.2">
      <c r="A167" t="str">
        <f t="shared" si="2"/>
        <v>Configurador OnlineRegraDroolsAComplexoSimples</v>
      </c>
      <c r="B167" s="229" t="s">
        <v>228</v>
      </c>
      <c r="C167" s="229" t="s">
        <v>218</v>
      </c>
      <c r="D167" s="229" t="s">
        <v>25</v>
      </c>
      <c r="E167" s="229" t="s">
        <v>76</v>
      </c>
      <c r="F167" s="229" t="s">
        <v>26</v>
      </c>
      <c r="G167">
        <v>6</v>
      </c>
    </row>
    <row r="168" spans="1:7" hidden="1" x14ac:dyDescent="0.2">
      <c r="A168" t="str">
        <f t="shared" si="2"/>
        <v>Configurador OnlineRegraDroolsAComplexoMédio</v>
      </c>
      <c r="B168" s="229" t="s">
        <v>228</v>
      </c>
      <c r="C168" s="229" t="s">
        <v>218</v>
      </c>
      <c r="D168" s="229" t="s">
        <v>25</v>
      </c>
      <c r="E168" s="229" t="s">
        <v>76</v>
      </c>
      <c r="F168" s="229" t="s">
        <v>75</v>
      </c>
      <c r="G168">
        <v>8</v>
      </c>
    </row>
    <row r="169" spans="1:7" hidden="1" x14ac:dyDescent="0.2">
      <c r="A169" t="str">
        <f t="shared" si="2"/>
        <v>Configurador OnlineRegraDroolsAComplexoComplexo</v>
      </c>
      <c r="B169" s="229" t="s">
        <v>228</v>
      </c>
      <c r="C169" s="229" t="s">
        <v>218</v>
      </c>
      <c r="D169" s="229" t="s">
        <v>25</v>
      </c>
      <c r="E169" s="229" t="s">
        <v>76</v>
      </c>
      <c r="F169" s="229" t="s">
        <v>76</v>
      </c>
      <c r="G169">
        <v>12</v>
      </c>
    </row>
    <row r="170" spans="1:7" hidden="1" x14ac:dyDescent="0.2">
      <c r="A170" t="str">
        <f t="shared" si="2"/>
        <v>Configurador OnlineJUnitNSimples</v>
      </c>
      <c r="B170" s="229" t="s">
        <v>228</v>
      </c>
      <c r="C170" s="229" t="s">
        <v>219</v>
      </c>
      <c r="D170" s="229" t="s">
        <v>24</v>
      </c>
      <c r="E170" s="229" t="s">
        <v>26</v>
      </c>
      <c r="F170" s="229"/>
      <c r="G170">
        <v>3</v>
      </c>
    </row>
    <row r="171" spans="1:7" hidden="1" x14ac:dyDescent="0.2">
      <c r="A171" t="str">
        <f t="shared" si="2"/>
        <v>Configurador OnlineJUnitNMédio</v>
      </c>
      <c r="B171" s="229" t="s">
        <v>228</v>
      </c>
      <c r="C171" s="229" t="s">
        <v>219</v>
      </c>
      <c r="D171" s="229" t="s">
        <v>24</v>
      </c>
      <c r="E171" s="229" t="s">
        <v>75</v>
      </c>
      <c r="F171" s="229"/>
      <c r="G171">
        <v>5</v>
      </c>
    </row>
    <row r="172" spans="1:7" hidden="1" x14ac:dyDescent="0.2">
      <c r="A172" t="str">
        <f t="shared" si="2"/>
        <v>Configurador OnlineJUnitNComplexo</v>
      </c>
      <c r="B172" s="229" t="s">
        <v>228</v>
      </c>
      <c r="C172" s="229" t="s">
        <v>219</v>
      </c>
      <c r="D172" s="229" t="s">
        <v>24</v>
      </c>
      <c r="E172" s="229" t="s">
        <v>76</v>
      </c>
      <c r="F172" s="229"/>
      <c r="G172">
        <v>9</v>
      </c>
    </row>
    <row r="173" spans="1:7" hidden="1" x14ac:dyDescent="0.2">
      <c r="A173" t="str">
        <f t="shared" si="2"/>
        <v>Configurador OnlineJUnitASimplesSimples</v>
      </c>
      <c r="B173" s="229" t="s">
        <v>228</v>
      </c>
      <c r="C173" s="229" t="s">
        <v>219</v>
      </c>
      <c r="D173" s="229" t="s">
        <v>25</v>
      </c>
      <c r="E173" s="229" t="s">
        <v>26</v>
      </c>
      <c r="F173" s="229" t="s">
        <v>26</v>
      </c>
      <c r="G173">
        <v>2</v>
      </c>
    </row>
    <row r="174" spans="1:7" hidden="1" x14ac:dyDescent="0.2">
      <c r="A174" t="str">
        <f t="shared" si="2"/>
        <v>Configurador OnlineJUnitASimplesMédio</v>
      </c>
      <c r="B174" s="229" t="s">
        <v>228</v>
      </c>
      <c r="C174" s="229" t="s">
        <v>219</v>
      </c>
      <c r="D174" s="229" t="s">
        <v>25</v>
      </c>
      <c r="E174" s="229" t="s">
        <v>26</v>
      </c>
      <c r="F174" s="229" t="s">
        <v>75</v>
      </c>
      <c r="G174">
        <v>4</v>
      </c>
    </row>
    <row r="175" spans="1:7" hidden="1" x14ac:dyDescent="0.2">
      <c r="A175" t="str">
        <f t="shared" si="2"/>
        <v>Configurador OnlineJUnitASimplesComplexo</v>
      </c>
      <c r="B175" s="229" t="s">
        <v>228</v>
      </c>
      <c r="C175" s="229" t="s">
        <v>219</v>
      </c>
      <c r="D175" s="229" t="s">
        <v>25</v>
      </c>
      <c r="E175" s="229" t="s">
        <v>26</v>
      </c>
      <c r="F175" s="229" t="s">
        <v>76</v>
      </c>
      <c r="G175">
        <v>5</v>
      </c>
    </row>
    <row r="176" spans="1:7" hidden="1" x14ac:dyDescent="0.2">
      <c r="A176" t="str">
        <f t="shared" si="2"/>
        <v>Configurador OnlineJUnitAMédioSimples</v>
      </c>
      <c r="B176" s="229" t="s">
        <v>228</v>
      </c>
      <c r="C176" s="229" t="s">
        <v>219</v>
      </c>
      <c r="D176" s="229" t="s">
        <v>25</v>
      </c>
      <c r="E176" s="229" t="s">
        <v>75</v>
      </c>
      <c r="F176" s="229" t="s">
        <v>26</v>
      </c>
      <c r="G176">
        <v>3</v>
      </c>
    </row>
    <row r="177" spans="1:7" hidden="1" x14ac:dyDescent="0.2">
      <c r="A177" t="str">
        <f t="shared" si="2"/>
        <v>Configurador OnlineJUnitAMédioMédio</v>
      </c>
      <c r="B177" s="229" t="s">
        <v>228</v>
      </c>
      <c r="C177" s="229" t="s">
        <v>219</v>
      </c>
      <c r="D177" s="229" t="s">
        <v>25</v>
      </c>
      <c r="E177" s="229" t="s">
        <v>75</v>
      </c>
      <c r="F177" s="229" t="s">
        <v>75</v>
      </c>
      <c r="G177">
        <v>5</v>
      </c>
    </row>
    <row r="178" spans="1:7" hidden="1" x14ac:dyDescent="0.2">
      <c r="A178" t="str">
        <f t="shared" si="2"/>
        <v>Configurador OnlineJUnitAMédioComplexo</v>
      </c>
      <c r="B178" s="229" t="s">
        <v>228</v>
      </c>
      <c r="C178" s="229" t="s">
        <v>219</v>
      </c>
      <c r="D178" s="229" t="s">
        <v>25</v>
      </c>
      <c r="E178" s="229" t="s">
        <v>75</v>
      </c>
      <c r="F178" s="229" t="s">
        <v>76</v>
      </c>
      <c r="G178">
        <v>7</v>
      </c>
    </row>
    <row r="179" spans="1:7" hidden="1" x14ac:dyDescent="0.2">
      <c r="A179" t="str">
        <f t="shared" si="2"/>
        <v>Configurador OnlineJUnitAComplexoSimples</v>
      </c>
      <c r="B179" s="229" t="s">
        <v>228</v>
      </c>
      <c r="C179" s="229" t="s">
        <v>219</v>
      </c>
      <c r="D179" s="229" t="s">
        <v>25</v>
      </c>
      <c r="E179" s="229" t="s">
        <v>76</v>
      </c>
      <c r="F179" s="229" t="s">
        <v>26</v>
      </c>
      <c r="G179">
        <v>4</v>
      </c>
    </row>
    <row r="180" spans="1:7" hidden="1" x14ac:dyDescent="0.2">
      <c r="A180" t="str">
        <f t="shared" si="2"/>
        <v>Configurador OnlineJUnitAComplexoMédio</v>
      </c>
      <c r="B180" s="229" t="s">
        <v>228</v>
      </c>
      <c r="C180" s="229" t="s">
        <v>219</v>
      </c>
      <c r="D180" s="229" t="s">
        <v>25</v>
      </c>
      <c r="E180" s="229" t="s">
        <v>76</v>
      </c>
      <c r="F180" s="229" t="s">
        <v>75</v>
      </c>
      <c r="G180">
        <v>6</v>
      </c>
    </row>
    <row r="181" spans="1:7" hidden="1" x14ac:dyDescent="0.2">
      <c r="A181" t="str">
        <f t="shared" si="2"/>
        <v>Configurador OnlineJUnitAComplexoComplexo</v>
      </c>
      <c r="B181" s="229" t="s">
        <v>228</v>
      </c>
      <c r="C181" s="229" t="s">
        <v>219</v>
      </c>
      <c r="D181" s="229" t="s">
        <v>25</v>
      </c>
      <c r="E181" s="229" t="s">
        <v>76</v>
      </c>
      <c r="F181" s="229" t="s">
        <v>76</v>
      </c>
      <c r="G181">
        <v>8</v>
      </c>
    </row>
    <row r="182" spans="1:7" hidden="1" x14ac:dyDescent="0.2">
      <c r="A182" t="str">
        <f t="shared" si="2"/>
        <v>Configurador OnlineBanco de Dados (DML, DDL)NSimples</v>
      </c>
      <c r="B182" s="229" t="s">
        <v>228</v>
      </c>
      <c r="C182" s="229" t="s">
        <v>220</v>
      </c>
      <c r="D182" s="229" t="s">
        <v>24</v>
      </c>
      <c r="E182" s="229" t="s">
        <v>26</v>
      </c>
      <c r="F182" s="229"/>
      <c r="G182">
        <v>1</v>
      </c>
    </row>
    <row r="183" spans="1:7" hidden="1" x14ac:dyDescent="0.2">
      <c r="A183" t="str">
        <f t="shared" si="2"/>
        <v>Configurador OnlineBanco de Dados (DML, DDL)NMédio</v>
      </c>
      <c r="B183" s="229" t="s">
        <v>228</v>
      </c>
      <c r="C183" s="229" t="s">
        <v>220</v>
      </c>
      <c r="D183" s="229" t="s">
        <v>24</v>
      </c>
      <c r="E183" s="229" t="s">
        <v>75</v>
      </c>
      <c r="F183" s="229"/>
      <c r="G183">
        <v>3</v>
      </c>
    </row>
    <row r="184" spans="1:7" hidden="1" x14ac:dyDescent="0.2">
      <c r="A184" t="str">
        <f t="shared" si="2"/>
        <v>Configurador OnlineBanco de Dados (DML, DDL)NComplexo</v>
      </c>
      <c r="B184" s="229" t="s">
        <v>228</v>
      </c>
      <c r="C184" s="229" t="s">
        <v>220</v>
      </c>
      <c r="D184" s="229" t="s">
        <v>24</v>
      </c>
      <c r="E184" s="229" t="s">
        <v>76</v>
      </c>
      <c r="F184" s="229"/>
      <c r="G184">
        <v>5</v>
      </c>
    </row>
    <row r="185" spans="1:7" hidden="1" x14ac:dyDescent="0.2">
      <c r="A185" t="str">
        <f t="shared" si="2"/>
        <v>Configurador OnlineBanco de Dados (DML, DDL)ASimplesSimples</v>
      </c>
      <c r="B185" s="229" t="s">
        <v>228</v>
      </c>
      <c r="C185" s="229" t="s">
        <v>220</v>
      </c>
      <c r="D185" s="229" t="s">
        <v>25</v>
      </c>
      <c r="E185" s="229" t="s">
        <v>26</v>
      </c>
      <c r="F185" s="229" t="s">
        <v>26</v>
      </c>
      <c r="G185">
        <v>1</v>
      </c>
    </row>
    <row r="186" spans="1:7" hidden="1" x14ac:dyDescent="0.2">
      <c r="A186" t="str">
        <f t="shared" si="2"/>
        <v>Configurador OnlineBanco de Dados (DML, DDL)ASimplesMédio</v>
      </c>
      <c r="B186" s="229" t="s">
        <v>228</v>
      </c>
      <c r="C186" s="229" t="s">
        <v>220</v>
      </c>
      <c r="D186" s="229" t="s">
        <v>25</v>
      </c>
      <c r="E186" s="229" t="s">
        <v>26</v>
      </c>
      <c r="F186" s="229" t="s">
        <v>75</v>
      </c>
      <c r="G186">
        <v>3</v>
      </c>
    </row>
    <row r="187" spans="1:7" hidden="1" x14ac:dyDescent="0.2">
      <c r="A187" t="str">
        <f t="shared" si="2"/>
        <v>Configurador OnlineBanco de Dados (DML, DDL)ASimplesComplexo</v>
      </c>
      <c r="B187" s="229" t="s">
        <v>228</v>
      </c>
      <c r="C187" s="229" t="s">
        <v>220</v>
      </c>
      <c r="D187" s="229" t="s">
        <v>25</v>
      </c>
      <c r="E187" s="229" t="s">
        <v>26</v>
      </c>
      <c r="F187" s="229" t="s">
        <v>76</v>
      </c>
      <c r="G187">
        <v>5</v>
      </c>
    </row>
    <row r="188" spans="1:7" hidden="1" x14ac:dyDescent="0.2">
      <c r="A188" t="str">
        <f t="shared" si="2"/>
        <v>Configurador OnlineBanco de Dados (DML, DDL)AMédioSimples</v>
      </c>
      <c r="B188" s="229" t="s">
        <v>228</v>
      </c>
      <c r="C188" s="229" t="s">
        <v>220</v>
      </c>
      <c r="D188" s="229" t="s">
        <v>25</v>
      </c>
      <c r="E188" s="229" t="s">
        <v>75</v>
      </c>
      <c r="F188" s="229" t="s">
        <v>26</v>
      </c>
      <c r="G188">
        <v>3</v>
      </c>
    </row>
    <row r="189" spans="1:7" hidden="1" x14ac:dyDescent="0.2">
      <c r="A189" t="str">
        <f t="shared" si="2"/>
        <v>Configurador OnlineBanco de Dados (DML, DDL)AMédioMédio</v>
      </c>
      <c r="B189" s="229" t="s">
        <v>228</v>
      </c>
      <c r="C189" s="229" t="s">
        <v>220</v>
      </c>
      <c r="D189" s="229" t="s">
        <v>25</v>
      </c>
      <c r="E189" s="229" t="s">
        <v>75</v>
      </c>
      <c r="F189" s="229" t="s">
        <v>75</v>
      </c>
      <c r="G189">
        <v>6</v>
      </c>
    </row>
    <row r="190" spans="1:7" hidden="1" x14ac:dyDescent="0.2">
      <c r="A190" t="str">
        <f t="shared" si="2"/>
        <v>Configurador OnlineBanco de Dados (DML, DDL)AMédioComplexo</v>
      </c>
      <c r="B190" s="229" t="s">
        <v>228</v>
      </c>
      <c r="C190" s="229" t="s">
        <v>220</v>
      </c>
      <c r="D190" s="229" t="s">
        <v>25</v>
      </c>
      <c r="E190" s="229" t="s">
        <v>75</v>
      </c>
      <c r="F190" s="229" t="s">
        <v>76</v>
      </c>
      <c r="G190">
        <v>8</v>
      </c>
    </row>
    <row r="191" spans="1:7" hidden="1" x14ac:dyDescent="0.2">
      <c r="A191" t="str">
        <f t="shared" si="2"/>
        <v>Configurador OnlineBanco de Dados (DML, DDL)AComplexoSimples</v>
      </c>
      <c r="B191" s="229" t="s">
        <v>228</v>
      </c>
      <c r="C191" s="229" t="s">
        <v>220</v>
      </c>
      <c r="D191" s="229" t="s">
        <v>25</v>
      </c>
      <c r="E191" s="229" t="s">
        <v>76</v>
      </c>
      <c r="F191" s="229" t="s">
        <v>26</v>
      </c>
      <c r="G191">
        <v>5</v>
      </c>
    </row>
    <row r="192" spans="1:7" hidden="1" x14ac:dyDescent="0.2">
      <c r="A192" t="str">
        <f t="shared" si="2"/>
        <v>Configurador OnlineBanco de Dados (DML, DDL)AComplexoMédio</v>
      </c>
      <c r="B192" s="229" t="s">
        <v>228</v>
      </c>
      <c r="C192" s="229" t="s">
        <v>220</v>
      </c>
      <c r="D192" s="229" t="s">
        <v>25</v>
      </c>
      <c r="E192" s="229" t="s">
        <v>76</v>
      </c>
      <c r="F192" s="229" t="s">
        <v>75</v>
      </c>
      <c r="G192">
        <v>8</v>
      </c>
    </row>
    <row r="193" spans="1:7" hidden="1" x14ac:dyDescent="0.2">
      <c r="A193" t="str">
        <f t="shared" si="2"/>
        <v>Configurador OnlineBanco de Dados (DML, DDL)AComplexoComplexo</v>
      </c>
      <c r="B193" s="229" t="s">
        <v>228</v>
      </c>
      <c r="C193" s="229" t="s">
        <v>220</v>
      </c>
      <c r="D193" s="229" t="s">
        <v>25</v>
      </c>
      <c r="E193" s="229" t="s">
        <v>76</v>
      </c>
      <c r="F193" s="229" t="s">
        <v>76</v>
      </c>
      <c r="G193">
        <v>10</v>
      </c>
    </row>
    <row r="194" spans="1:7" hidden="1" x14ac:dyDescent="0.2">
      <c r="A194" t="str">
        <f t="shared" si="2"/>
        <v>Configurador OnlineBanco de Dados (PL/SQL)NSimples</v>
      </c>
      <c r="B194" s="229" t="s">
        <v>228</v>
      </c>
      <c r="C194" s="229" t="s">
        <v>203</v>
      </c>
      <c r="D194" s="229" t="s">
        <v>24</v>
      </c>
      <c r="E194" s="229" t="s">
        <v>26</v>
      </c>
      <c r="F194" s="229"/>
      <c r="G194">
        <v>4</v>
      </c>
    </row>
    <row r="195" spans="1:7" hidden="1" x14ac:dyDescent="0.2">
      <c r="A195" t="str">
        <f t="shared" ref="A195:A258" si="3">B195&amp;C195&amp;D195&amp;E195&amp;F195</f>
        <v>Configurador OnlineBanco de Dados (PL/SQL)NMédio</v>
      </c>
      <c r="B195" s="229" t="s">
        <v>228</v>
      </c>
      <c r="C195" s="229" t="s">
        <v>203</v>
      </c>
      <c r="D195" s="229" t="s">
        <v>24</v>
      </c>
      <c r="E195" s="229" t="s">
        <v>75</v>
      </c>
      <c r="F195" s="229"/>
      <c r="G195">
        <v>8</v>
      </c>
    </row>
    <row r="196" spans="1:7" hidden="1" x14ac:dyDescent="0.2">
      <c r="A196" t="str">
        <f t="shared" si="3"/>
        <v>Configurador OnlineBanco de Dados (PL/SQL)NComplexo</v>
      </c>
      <c r="B196" s="229" t="s">
        <v>228</v>
      </c>
      <c r="C196" s="229" t="s">
        <v>203</v>
      </c>
      <c r="D196" s="229" t="s">
        <v>24</v>
      </c>
      <c r="E196" s="229" t="s">
        <v>76</v>
      </c>
      <c r="F196" s="229"/>
      <c r="G196">
        <v>12</v>
      </c>
    </row>
    <row r="197" spans="1:7" hidden="1" x14ac:dyDescent="0.2">
      <c r="A197" t="str">
        <f t="shared" si="3"/>
        <v>Configurador OnlineBanco de Dados (PL/SQL)ASimplesSimples</v>
      </c>
      <c r="B197" s="229" t="s">
        <v>228</v>
      </c>
      <c r="C197" s="229" t="s">
        <v>203</v>
      </c>
      <c r="D197" s="229" t="s">
        <v>25</v>
      </c>
      <c r="E197" s="229" t="s">
        <v>26</v>
      </c>
      <c r="F197" s="229" t="s">
        <v>26</v>
      </c>
      <c r="G197">
        <v>2</v>
      </c>
    </row>
    <row r="198" spans="1:7" hidden="1" x14ac:dyDescent="0.2">
      <c r="A198" t="str">
        <f t="shared" si="3"/>
        <v>Configurador OnlineBanco de Dados (PL/SQL)ASimplesMédio</v>
      </c>
      <c r="B198" s="229" t="s">
        <v>228</v>
      </c>
      <c r="C198" s="229" t="s">
        <v>203</v>
      </c>
      <c r="D198" s="229" t="s">
        <v>25</v>
      </c>
      <c r="E198" s="229" t="s">
        <v>26</v>
      </c>
      <c r="F198" s="229" t="s">
        <v>75</v>
      </c>
      <c r="G198">
        <v>4</v>
      </c>
    </row>
    <row r="199" spans="1:7" hidden="1" x14ac:dyDescent="0.2">
      <c r="A199" t="str">
        <f t="shared" si="3"/>
        <v>Configurador OnlineBanco de Dados (PL/SQL)ASimplesComplexo</v>
      </c>
      <c r="B199" s="229" t="s">
        <v>228</v>
      </c>
      <c r="C199" s="229" t="s">
        <v>203</v>
      </c>
      <c r="D199" s="229" t="s">
        <v>25</v>
      </c>
      <c r="E199" s="229" t="s">
        <v>26</v>
      </c>
      <c r="F199" s="229" t="s">
        <v>76</v>
      </c>
      <c r="G199">
        <v>6</v>
      </c>
    </row>
    <row r="200" spans="1:7" hidden="1" x14ac:dyDescent="0.2">
      <c r="A200" t="str">
        <f t="shared" si="3"/>
        <v>Configurador OnlineBanco de Dados (PL/SQL)AMédioSimples</v>
      </c>
      <c r="B200" s="229" t="s">
        <v>228</v>
      </c>
      <c r="C200" s="229" t="s">
        <v>203</v>
      </c>
      <c r="D200" s="229" t="s">
        <v>25</v>
      </c>
      <c r="E200" s="229" t="s">
        <v>75</v>
      </c>
      <c r="F200" s="229" t="s">
        <v>26</v>
      </c>
      <c r="G200">
        <v>4</v>
      </c>
    </row>
    <row r="201" spans="1:7" hidden="1" x14ac:dyDescent="0.2">
      <c r="A201" t="str">
        <f t="shared" si="3"/>
        <v>Configurador OnlineBanco de Dados (PL/SQL)AMédioMédio</v>
      </c>
      <c r="B201" s="229" t="s">
        <v>228</v>
      </c>
      <c r="C201" s="229" t="s">
        <v>203</v>
      </c>
      <c r="D201" s="229" t="s">
        <v>25</v>
      </c>
      <c r="E201" s="229" t="s">
        <v>75</v>
      </c>
      <c r="F201" s="229" t="s">
        <v>75</v>
      </c>
      <c r="G201">
        <v>6</v>
      </c>
    </row>
    <row r="202" spans="1:7" hidden="1" x14ac:dyDescent="0.2">
      <c r="A202" t="str">
        <f t="shared" si="3"/>
        <v>Configurador OnlineBanco de Dados (PL/SQL)AMédioComplexo</v>
      </c>
      <c r="B202" s="229" t="s">
        <v>228</v>
      </c>
      <c r="C202" s="229" t="s">
        <v>203</v>
      </c>
      <c r="D202" s="229" t="s">
        <v>25</v>
      </c>
      <c r="E202" s="229" t="s">
        <v>75</v>
      </c>
      <c r="F202" s="229" t="s">
        <v>76</v>
      </c>
      <c r="G202">
        <v>9</v>
      </c>
    </row>
    <row r="203" spans="1:7" hidden="1" x14ac:dyDescent="0.2">
      <c r="A203" t="str">
        <f t="shared" si="3"/>
        <v>Configurador OnlineBanco de Dados (PL/SQL)AComplexoSimples</v>
      </c>
      <c r="B203" s="229" t="s">
        <v>228</v>
      </c>
      <c r="C203" s="229" t="s">
        <v>203</v>
      </c>
      <c r="D203" s="229" t="s">
        <v>25</v>
      </c>
      <c r="E203" s="229" t="s">
        <v>76</v>
      </c>
      <c r="F203" s="229" t="s">
        <v>26</v>
      </c>
      <c r="G203">
        <v>7</v>
      </c>
    </row>
    <row r="204" spans="1:7" hidden="1" x14ac:dyDescent="0.2">
      <c r="A204" t="str">
        <f t="shared" si="3"/>
        <v>Configurador OnlineBanco de Dados (PL/SQL)AComplexoMédio</v>
      </c>
      <c r="B204" s="229" t="s">
        <v>228</v>
      </c>
      <c r="C204" s="229" t="s">
        <v>203</v>
      </c>
      <c r="D204" s="229" t="s">
        <v>25</v>
      </c>
      <c r="E204" s="229" t="s">
        <v>76</v>
      </c>
      <c r="F204" s="229" t="s">
        <v>75</v>
      </c>
      <c r="G204">
        <v>9</v>
      </c>
    </row>
    <row r="205" spans="1:7" hidden="1" x14ac:dyDescent="0.2">
      <c r="A205" t="str">
        <f t="shared" si="3"/>
        <v>Configurador OnlineBanco de Dados (PL/SQL)AComplexoComplexo</v>
      </c>
      <c r="B205" s="229" t="s">
        <v>228</v>
      </c>
      <c r="C205" s="229" t="s">
        <v>203</v>
      </c>
      <c r="D205" s="229" t="s">
        <v>25</v>
      </c>
      <c r="E205" s="229" t="s">
        <v>76</v>
      </c>
      <c r="F205" s="229" t="s">
        <v>76</v>
      </c>
      <c r="G205">
        <v>12</v>
      </c>
    </row>
    <row r="206" spans="1:7" hidden="1" x14ac:dyDescent="0.2">
      <c r="A206" t="str">
        <f t="shared" si="3"/>
        <v>Configurador OnlineJAVA: Interface WebServiceNSimples</v>
      </c>
      <c r="B206" s="229" t="s">
        <v>228</v>
      </c>
      <c r="C206" s="229" t="s">
        <v>204</v>
      </c>
      <c r="D206" s="229" t="s">
        <v>24</v>
      </c>
      <c r="E206" s="229" t="s">
        <v>26</v>
      </c>
      <c r="F206" s="229"/>
      <c r="G206">
        <v>3</v>
      </c>
    </row>
    <row r="207" spans="1:7" hidden="1" x14ac:dyDescent="0.2">
      <c r="A207" t="str">
        <f t="shared" si="3"/>
        <v>Configurador OnlineJAVA: Interface WebServiceNMédio</v>
      </c>
      <c r="B207" s="229" t="s">
        <v>228</v>
      </c>
      <c r="C207" s="229" t="s">
        <v>204</v>
      </c>
      <c r="D207" s="229" t="s">
        <v>24</v>
      </c>
      <c r="E207" s="229" t="s">
        <v>75</v>
      </c>
      <c r="F207" s="229"/>
      <c r="G207">
        <v>5</v>
      </c>
    </row>
    <row r="208" spans="1:7" hidden="1" x14ac:dyDescent="0.2">
      <c r="A208" t="str">
        <f t="shared" si="3"/>
        <v>Configurador OnlineJAVA: Interface WebServiceNComplexo</v>
      </c>
      <c r="B208" s="229" t="s">
        <v>228</v>
      </c>
      <c r="C208" s="229" t="s">
        <v>204</v>
      </c>
      <c r="D208" s="229" t="s">
        <v>24</v>
      </c>
      <c r="E208" s="229" t="s">
        <v>76</v>
      </c>
      <c r="F208" s="229"/>
      <c r="G208">
        <v>8</v>
      </c>
    </row>
    <row r="209" spans="1:7" hidden="1" x14ac:dyDescent="0.2">
      <c r="A209" t="str">
        <f t="shared" si="3"/>
        <v>Configurador OnlineJAVA: Interface WebServiceASimplesSimples</v>
      </c>
      <c r="B209" s="229" t="s">
        <v>228</v>
      </c>
      <c r="C209" s="229" t="s">
        <v>204</v>
      </c>
      <c r="D209" s="229" t="s">
        <v>25</v>
      </c>
      <c r="E209" s="229" t="s">
        <v>26</v>
      </c>
      <c r="F209" s="229" t="s">
        <v>26</v>
      </c>
      <c r="G209">
        <v>2</v>
      </c>
    </row>
    <row r="210" spans="1:7" hidden="1" x14ac:dyDescent="0.2">
      <c r="A210" t="str">
        <f t="shared" si="3"/>
        <v>Configurador OnlineJAVA: Interface WebServiceASimplesMédio</v>
      </c>
      <c r="B210" s="229" t="s">
        <v>228</v>
      </c>
      <c r="C210" s="229" t="s">
        <v>204</v>
      </c>
      <c r="D210" s="229" t="s">
        <v>25</v>
      </c>
      <c r="E210" s="229" t="s">
        <v>26</v>
      </c>
      <c r="F210" s="229" t="s">
        <v>75</v>
      </c>
      <c r="G210">
        <v>3</v>
      </c>
    </row>
    <row r="211" spans="1:7" hidden="1" x14ac:dyDescent="0.2">
      <c r="A211" t="str">
        <f t="shared" si="3"/>
        <v>Configurador OnlineJAVA: Interface WebServiceASimplesComplexo</v>
      </c>
      <c r="B211" s="229" t="s">
        <v>228</v>
      </c>
      <c r="C211" s="229" t="s">
        <v>204</v>
      </c>
      <c r="D211" s="229" t="s">
        <v>25</v>
      </c>
      <c r="E211" s="229" t="s">
        <v>26</v>
      </c>
      <c r="F211" s="229" t="s">
        <v>76</v>
      </c>
      <c r="G211">
        <v>4</v>
      </c>
    </row>
    <row r="212" spans="1:7" hidden="1" x14ac:dyDescent="0.2">
      <c r="A212" t="str">
        <f t="shared" si="3"/>
        <v>Configurador OnlineJAVA: Interface WebServiceAMédioSimples</v>
      </c>
      <c r="B212" s="229" t="s">
        <v>228</v>
      </c>
      <c r="C212" s="229" t="s">
        <v>204</v>
      </c>
      <c r="D212" s="229" t="s">
        <v>25</v>
      </c>
      <c r="E212" s="229" t="s">
        <v>75</v>
      </c>
      <c r="F212" s="229" t="s">
        <v>26</v>
      </c>
      <c r="G212">
        <v>2</v>
      </c>
    </row>
    <row r="213" spans="1:7" hidden="1" x14ac:dyDescent="0.2">
      <c r="A213" t="str">
        <f t="shared" si="3"/>
        <v>Configurador OnlineJAVA: Interface WebServiceAMédioMédio</v>
      </c>
      <c r="B213" s="229" t="s">
        <v>228</v>
      </c>
      <c r="C213" s="229" t="s">
        <v>204</v>
      </c>
      <c r="D213" s="229" t="s">
        <v>25</v>
      </c>
      <c r="E213" s="229" t="s">
        <v>75</v>
      </c>
      <c r="F213" s="229" t="s">
        <v>75</v>
      </c>
      <c r="G213">
        <v>5</v>
      </c>
    </row>
    <row r="214" spans="1:7" hidden="1" x14ac:dyDescent="0.2">
      <c r="A214" t="str">
        <f t="shared" si="3"/>
        <v>Configurador OnlineJAVA: Interface WebServiceAMédioComplexo</v>
      </c>
      <c r="B214" s="229" t="s">
        <v>228</v>
      </c>
      <c r="C214" s="229" t="s">
        <v>204</v>
      </c>
      <c r="D214" s="229" t="s">
        <v>25</v>
      </c>
      <c r="E214" s="229" t="s">
        <v>75</v>
      </c>
      <c r="F214" s="229" t="s">
        <v>76</v>
      </c>
      <c r="G214">
        <v>8</v>
      </c>
    </row>
    <row r="215" spans="1:7" hidden="1" x14ac:dyDescent="0.2">
      <c r="A215" t="str">
        <f t="shared" si="3"/>
        <v>Configurador OnlineJAVA: Interface WebServiceAComplexoSimples</v>
      </c>
      <c r="B215" s="229" t="s">
        <v>228</v>
      </c>
      <c r="C215" s="229" t="s">
        <v>204</v>
      </c>
      <c r="D215" s="229" t="s">
        <v>25</v>
      </c>
      <c r="E215" s="229" t="s">
        <v>76</v>
      </c>
      <c r="F215" s="229" t="s">
        <v>26</v>
      </c>
      <c r="G215">
        <v>5</v>
      </c>
    </row>
    <row r="216" spans="1:7" hidden="1" x14ac:dyDescent="0.2">
      <c r="A216" t="str">
        <f t="shared" si="3"/>
        <v>Configurador OnlineJAVA: Interface WebServiceAComplexoMédio</v>
      </c>
      <c r="B216" s="229" t="s">
        <v>228</v>
      </c>
      <c r="C216" s="229" t="s">
        <v>204</v>
      </c>
      <c r="D216" s="229" t="s">
        <v>25</v>
      </c>
      <c r="E216" s="229" t="s">
        <v>76</v>
      </c>
      <c r="F216" s="229" t="s">
        <v>75</v>
      </c>
      <c r="G216">
        <v>7</v>
      </c>
    </row>
    <row r="217" spans="1:7" hidden="1" x14ac:dyDescent="0.2">
      <c r="A217" t="str">
        <f t="shared" si="3"/>
        <v>Configurador OnlineJAVA: Interface WebServiceAComplexoComplexo</v>
      </c>
      <c r="B217" s="229" t="s">
        <v>228</v>
      </c>
      <c r="C217" s="229" t="s">
        <v>204</v>
      </c>
      <c r="D217" s="229" t="s">
        <v>25</v>
      </c>
      <c r="E217" s="229" t="s">
        <v>76</v>
      </c>
      <c r="F217" s="229" t="s">
        <v>76</v>
      </c>
      <c r="G217">
        <v>9</v>
      </c>
    </row>
    <row r="218" spans="1:7" hidden="1" x14ac:dyDescent="0.2">
      <c r="A218" t="str">
        <f t="shared" si="3"/>
        <v>Configurador OnlineJAVA: Transformação de ObjetosNSimples</v>
      </c>
      <c r="B218" s="229" t="s">
        <v>228</v>
      </c>
      <c r="C218" s="229" t="s">
        <v>205</v>
      </c>
      <c r="D218" s="229" t="s">
        <v>24</v>
      </c>
      <c r="E218" s="229" t="s">
        <v>26</v>
      </c>
      <c r="F218" s="229"/>
      <c r="G218">
        <v>1</v>
      </c>
    </row>
    <row r="219" spans="1:7" hidden="1" x14ac:dyDescent="0.2">
      <c r="A219" t="str">
        <f t="shared" si="3"/>
        <v>Configurador OnlineJAVA: Transformação de ObjetosNMédio</v>
      </c>
      <c r="B219" s="229" t="s">
        <v>228</v>
      </c>
      <c r="C219" s="229" t="s">
        <v>205</v>
      </c>
      <c r="D219" s="229" t="s">
        <v>24</v>
      </c>
      <c r="E219" s="229" t="s">
        <v>75</v>
      </c>
      <c r="F219" s="229"/>
      <c r="G219">
        <v>3</v>
      </c>
    </row>
    <row r="220" spans="1:7" hidden="1" x14ac:dyDescent="0.2">
      <c r="A220" t="str">
        <f t="shared" si="3"/>
        <v>Configurador OnlineJAVA: Transformação de ObjetosNComplexo</v>
      </c>
      <c r="B220" s="229" t="s">
        <v>228</v>
      </c>
      <c r="C220" s="229" t="s">
        <v>205</v>
      </c>
      <c r="D220" s="229" t="s">
        <v>24</v>
      </c>
      <c r="E220" s="229" t="s">
        <v>76</v>
      </c>
      <c r="F220" s="229"/>
      <c r="G220">
        <v>5</v>
      </c>
    </row>
    <row r="221" spans="1:7" hidden="1" x14ac:dyDescent="0.2">
      <c r="A221" t="str">
        <f t="shared" si="3"/>
        <v>Configurador OnlineJAVA: Transformação de ObjetosASimplesSimples</v>
      </c>
      <c r="B221" s="229" t="s">
        <v>228</v>
      </c>
      <c r="C221" s="229" t="s">
        <v>205</v>
      </c>
      <c r="D221" s="229" t="s">
        <v>25</v>
      </c>
      <c r="E221" s="229" t="s">
        <v>26</v>
      </c>
      <c r="F221" s="229" t="s">
        <v>26</v>
      </c>
      <c r="G221">
        <v>1</v>
      </c>
    </row>
    <row r="222" spans="1:7" hidden="1" x14ac:dyDescent="0.2">
      <c r="A222" t="str">
        <f t="shared" si="3"/>
        <v>Configurador OnlineJAVA: Transformação de ObjetosASimplesMédio</v>
      </c>
      <c r="B222" s="229" t="s">
        <v>228</v>
      </c>
      <c r="C222" s="229" t="s">
        <v>205</v>
      </c>
      <c r="D222" s="229" t="s">
        <v>25</v>
      </c>
      <c r="E222" s="229" t="s">
        <v>26</v>
      </c>
      <c r="F222" s="229" t="s">
        <v>75</v>
      </c>
      <c r="G222">
        <v>2</v>
      </c>
    </row>
    <row r="223" spans="1:7" hidden="1" x14ac:dyDescent="0.2">
      <c r="A223" t="str">
        <f t="shared" si="3"/>
        <v>Configurador OnlineJAVA: Transformação de ObjetosASimplesComplexo</v>
      </c>
      <c r="B223" s="229" t="s">
        <v>228</v>
      </c>
      <c r="C223" s="229" t="s">
        <v>205</v>
      </c>
      <c r="D223" s="229" t="s">
        <v>25</v>
      </c>
      <c r="E223" s="229" t="s">
        <v>26</v>
      </c>
      <c r="F223" s="229" t="s">
        <v>76</v>
      </c>
      <c r="G223">
        <v>4</v>
      </c>
    </row>
    <row r="224" spans="1:7" hidden="1" x14ac:dyDescent="0.2">
      <c r="A224" t="str">
        <f t="shared" si="3"/>
        <v>Configurador OnlineJAVA: Transformação de ObjetosAMédioSimples</v>
      </c>
      <c r="B224" s="229" t="s">
        <v>228</v>
      </c>
      <c r="C224" s="229" t="s">
        <v>205</v>
      </c>
      <c r="D224" s="229" t="s">
        <v>25</v>
      </c>
      <c r="E224" s="229" t="s">
        <v>75</v>
      </c>
      <c r="F224" s="229" t="s">
        <v>26</v>
      </c>
      <c r="G224">
        <v>3</v>
      </c>
    </row>
    <row r="225" spans="1:7" hidden="1" x14ac:dyDescent="0.2">
      <c r="A225" t="str">
        <f t="shared" si="3"/>
        <v>Configurador OnlineJAVA: Transformação de ObjetosAMédioMédio</v>
      </c>
      <c r="B225" s="229" t="s">
        <v>228</v>
      </c>
      <c r="C225" s="229" t="s">
        <v>205</v>
      </c>
      <c r="D225" s="229" t="s">
        <v>25</v>
      </c>
      <c r="E225" s="229" t="s">
        <v>75</v>
      </c>
      <c r="F225" s="229" t="s">
        <v>75</v>
      </c>
      <c r="G225">
        <v>5</v>
      </c>
    </row>
    <row r="226" spans="1:7" hidden="1" x14ac:dyDescent="0.2">
      <c r="A226" t="str">
        <f t="shared" si="3"/>
        <v>Configurador OnlineJAVA: Transformação de ObjetosAMédioComplexo</v>
      </c>
      <c r="B226" s="229" t="s">
        <v>228</v>
      </c>
      <c r="C226" s="229" t="s">
        <v>205</v>
      </c>
      <c r="D226" s="229" t="s">
        <v>25</v>
      </c>
      <c r="E226" s="229" t="s">
        <v>75</v>
      </c>
      <c r="F226" s="229" t="s">
        <v>76</v>
      </c>
      <c r="G226">
        <v>6</v>
      </c>
    </row>
    <row r="227" spans="1:7" hidden="1" x14ac:dyDescent="0.2">
      <c r="A227" t="str">
        <f t="shared" si="3"/>
        <v>Configurador OnlineJAVA: Transformação de ObjetosAComplexoSimples</v>
      </c>
      <c r="B227" s="229" t="s">
        <v>228</v>
      </c>
      <c r="C227" s="229" t="s">
        <v>205</v>
      </c>
      <c r="D227" s="229" t="s">
        <v>25</v>
      </c>
      <c r="E227" s="229" t="s">
        <v>76</v>
      </c>
      <c r="F227" s="229" t="s">
        <v>26</v>
      </c>
      <c r="G227">
        <v>4</v>
      </c>
    </row>
    <row r="228" spans="1:7" hidden="1" x14ac:dyDescent="0.2">
      <c r="A228" t="str">
        <f t="shared" si="3"/>
        <v>Configurador OnlineJAVA: Transformação de ObjetosAComplexoMédio</v>
      </c>
      <c r="B228" s="229" t="s">
        <v>228</v>
      </c>
      <c r="C228" s="229" t="s">
        <v>205</v>
      </c>
      <c r="D228" s="229" t="s">
        <v>25</v>
      </c>
      <c r="E228" s="229" t="s">
        <v>76</v>
      </c>
      <c r="F228" s="229" t="s">
        <v>75</v>
      </c>
      <c r="G228">
        <v>6</v>
      </c>
    </row>
    <row r="229" spans="1:7" hidden="1" x14ac:dyDescent="0.2">
      <c r="A229" t="str">
        <f t="shared" si="3"/>
        <v>Configurador OnlineJAVA: Transformação de ObjetosAComplexoComplexo</v>
      </c>
      <c r="B229" s="229" t="s">
        <v>228</v>
      </c>
      <c r="C229" s="229" t="s">
        <v>205</v>
      </c>
      <c r="D229" s="229" t="s">
        <v>25</v>
      </c>
      <c r="E229" s="229" t="s">
        <v>76</v>
      </c>
      <c r="F229" s="229" t="s">
        <v>76</v>
      </c>
      <c r="G229">
        <v>8</v>
      </c>
    </row>
    <row r="230" spans="1:7" hidden="1" x14ac:dyDescent="0.2">
      <c r="A230" t="str">
        <f t="shared" si="3"/>
        <v>Configurador OnlineJAVA: Métodos de Negócio (Controller)NSimples</v>
      </c>
      <c r="B230" s="229" t="s">
        <v>228</v>
      </c>
      <c r="C230" s="229" t="s">
        <v>206</v>
      </c>
      <c r="D230" s="229" t="s">
        <v>24</v>
      </c>
      <c r="E230" s="229" t="s">
        <v>26</v>
      </c>
      <c r="F230" s="229"/>
      <c r="G230">
        <v>8</v>
      </c>
    </row>
    <row r="231" spans="1:7" hidden="1" x14ac:dyDescent="0.2">
      <c r="A231" t="str">
        <f t="shared" si="3"/>
        <v>Configurador OnlineJAVA: Métodos de Negócio (Controller)NMédio</v>
      </c>
      <c r="B231" s="229" t="s">
        <v>228</v>
      </c>
      <c r="C231" s="229" t="s">
        <v>206</v>
      </c>
      <c r="D231" s="229" t="s">
        <v>24</v>
      </c>
      <c r="E231" s="229" t="s">
        <v>75</v>
      </c>
      <c r="F231" s="229"/>
      <c r="G231">
        <v>16</v>
      </c>
    </row>
    <row r="232" spans="1:7" hidden="1" x14ac:dyDescent="0.2">
      <c r="A232" t="str">
        <f t="shared" si="3"/>
        <v>Configurador OnlineJAVA: Métodos de Negócio (Controller)NComplexo</v>
      </c>
      <c r="B232" s="229" t="s">
        <v>228</v>
      </c>
      <c r="C232" s="229" t="s">
        <v>206</v>
      </c>
      <c r="D232" s="229" t="s">
        <v>24</v>
      </c>
      <c r="E232" s="229" t="s">
        <v>76</v>
      </c>
      <c r="F232" s="229"/>
      <c r="G232">
        <v>24</v>
      </c>
    </row>
    <row r="233" spans="1:7" hidden="1" x14ac:dyDescent="0.2">
      <c r="A233" t="str">
        <f t="shared" si="3"/>
        <v>Configurador OnlineJAVA: Métodos de Negócio (Controller)ASimplesSimples</v>
      </c>
      <c r="B233" s="229" t="s">
        <v>228</v>
      </c>
      <c r="C233" s="229" t="s">
        <v>206</v>
      </c>
      <c r="D233" s="229" t="s">
        <v>25</v>
      </c>
      <c r="E233" s="229" t="s">
        <v>26</v>
      </c>
      <c r="F233" s="229" t="s">
        <v>26</v>
      </c>
      <c r="G233">
        <v>3</v>
      </c>
    </row>
    <row r="234" spans="1:7" hidden="1" x14ac:dyDescent="0.2">
      <c r="A234" t="str">
        <f t="shared" si="3"/>
        <v>Configurador OnlineJAVA: Métodos de Negócio (Controller)ASimplesMédio</v>
      </c>
      <c r="B234" s="229" t="s">
        <v>228</v>
      </c>
      <c r="C234" s="229" t="s">
        <v>206</v>
      </c>
      <c r="D234" s="229" t="s">
        <v>25</v>
      </c>
      <c r="E234" s="229" t="s">
        <v>26</v>
      </c>
      <c r="F234" s="229" t="s">
        <v>75</v>
      </c>
      <c r="G234">
        <v>5</v>
      </c>
    </row>
    <row r="235" spans="1:7" hidden="1" x14ac:dyDescent="0.2">
      <c r="A235" t="str">
        <f t="shared" si="3"/>
        <v>Configurador OnlineJAVA: Métodos de Negócio (Controller)ASimplesComplexo</v>
      </c>
      <c r="B235" s="229" t="s">
        <v>228</v>
      </c>
      <c r="C235" s="229" t="s">
        <v>206</v>
      </c>
      <c r="D235" s="229" t="s">
        <v>25</v>
      </c>
      <c r="E235" s="229" t="s">
        <v>26</v>
      </c>
      <c r="F235" s="229" t="s">
        <v>76</v>
      </c>
      <c r="G235">
        <v>7</v>
      </c>
    </row>
    <row r="236" spans="1:7" hidden="1" x14ac:dyDescent="0.2">
      <c r="A236" t="str">
        <f t="shared" si="3"/>
        <v>Configurador OnlineJAVA: Métodos de Negócio (Controller)AMédioSimples</v>
      </c>
      <c r="B236" s="229" t="s">
        <v>228</v>
      </c>
      <c r="C236" s="229" t="s">
        <v>206</v>
      </c>
      <c r="D236" s="229" t="s">
        <v>25</v>
      </c>
      <c r="E236" s="229" t="s">
        <v>75</v>
      </c>
      <c r="F236" s="229" t="s">
        <v>26</v>
      </c>
      <c r="G236" s="229">
        <v>8</v>
      </c>
    </row>
    <row r="237" spans="1:7" hidden="1" x14ac:dyDescent="0.2">
      <c r="A237" t="str">
        <f t="shared" si="3"/>
        <v>Configurador OnlineJAVA: Métodos de Negócio (Controller)AMédioMédio</v>
      </c>
      <c r="B237" s="229" t="s">
        <v>228</v>
      </c>
      <c r="C237" s="229" t="s">
        <v>206</v>
      </c>
      <c r="D237" s="229" t="s">
        <v>25</v>
      </c>
      <c r="E237" s="229" t="s">
        <v>75</v>
      </c>
      <c r="F237" s="229" t="s">
        <v>75</v>
      </c>
      <c r="G237">
        <v>10</v>
      </c>
    </row>
    <row r="238" spans="1:7" hidden="1" x14ac:dyDescent="0.2">
      <c r="A238" t="str">
        <f t="shared" si="3"/>
        <v>Configurador OnlineJAVA: Métodos de Negócio (Controller)AMédioComplexo</v>
      </c>
      <c r="B238" s="229" t="s">
        <v>228</v>
      </c>
      <c r="C238" s="229" t="s">
        <v>206</v>
      </c>
      <c r="D238" s="229" t="s">
        <v>25</v>
      </c>
      <c r="E238" s="229" t="s">
        <v>75</v>
      </c>
      <c r="F238" s="229" t="s">
        <v>76</v>
      </c>
      <c r="G238">
        <v>14</v>
      </c>
    </row>
    <row r="239" spans="1:7" hidden="1" x14ac:dyDescent="0.2">
      <c r="A239" t="str">
        <f t="shared" si="3"/>
        <v>Configurador OnlineJAVA: Métodos de Negócio (Controller)AComplexoSimples</v>
      </c>
      <c r="B239" s="229" t="s">
        <v>228</v>
      </c>
      <c r="C239" s="229" t="s">
        <v>206</v>
      </c>
      <c r="D239" s="229" t="s">
        <v>25</v>
      </c>
      <c r="E239" s="229" t="s">
        <v>76</v>
      </c>
      <c r="F239" s="229" t="s">
        <v>26</v>
      </c>
      <c r="G239">
        <v>6</v>
      </c>
    </row>
    <row r="240" spans="1:7" hidden="1" x14ac:dyDescent="0.2">
      <c r="A240" t="str">
        <f t="shared" si="3"/>
        <v>Configurador OnlineJAVA: Métodos de Negócio (Controller)AComplexoMédio</v>
      </c>
      <c r="B240" s="229" t="s">
        <v>228</v>
      </c>
      <c r="C240" s="229" t="s">
        <v>206</v>
      </c>
      <c r="D240" s="229" t="s">
        <v>25</v>
      </c>
      <c r="E240" s="229" t="s">
        <v>76</v>
      </c>
      <c r="F240" s="229" t="s">
        <v>75</v>
      </c>
      <c r="G240">
        <v>10</v>
      </c>
    </row>
    <row r="241" spans="1:7" hidden="1" x14ac:dyDescent="0.2">
      <c r="A241" t="str">
        <f t="shared" si="3"/>
        <v>Configurador OnlineJAVA: Métodos de Negócio (Controller)AComplexoComplexo</v>
      </c>
      <c r="B241" s="229" t="s">
        <v>228</v>
      </c>
      <c r="C241" s="229" t="s">
        <v>206</v>
      </c>
      <c r="D241" s="229" t="s">
        <v>25</v>
      </c>
      <c r="E241" s="229" t="s">
        <v>76</v>
      </c>
      <c r="F241" s="229" t="s">
        <v>76</v>
      </c>
      <c r="G241">
        <v>16</v>
      </c>
    </row>
    <row r="242" spans="1:7" hidden="1" x14ac:dyDescent="0.2">
      <c r="A242" t="str">
        <f t="shared" si="3"/>
        <v>Configurador OnlineJAVA: EntityNSimples</v>
      </c>
      <c r="B242" s="229" t="s">
        <v>228</v>
      </c>
      <c r="C242" s="229" t="s">
        <v>207</v>
      </c>
      <c r="D242" s="229" t="s">
        <v>24</v>
      </c>
      <c r="E242" s="229" t="s">
        <v>26</v>
      </c>
      <c r="F242" s="229"/>
      <c r="G242">
        <v>1</v>
      </c>
    </row>
    <row r="243" spans="1:7" hidden="1" x14ac:dyDescent="0.2">
      <c r="A243" t="str">
        <f t="shared" si="3"/>
        <v>Configurador OnlineJAVA: EntityNMédio</v>
      </c>
      <c r="B243" s="229" t="s">
        <v>228</v>
      </c>
      <c r="C243" s="229" t="s">
        <v>207</v>
      </c>
      <c r="D243" s="229" t="s">
        <v>24</v>
      </c>
      <c r="E243" s="229" t="s">
        <v>75</v>
      </c>
      <c r="F243" s="229"/>
      <c r="G243">
        <v>2</v>
      </c>
    </row>
    <row r="244" spans="1:7" hidden="1" x14ac:dyDescent="0.2">
      <c r="A244" t="str">
        <f t="shared" si="3"/>
        <v>Configurador OnlineJAVA: EntityNComplexo</v>
      </c>
      <c r="B244" s="229" t="s">
        <v>228</v>
      </c>
      <c r="C244" s="229" t="s">
        <v>207</v>
      </c>
      <c r="D244" s="229" t="s">
        <v>24</v>
      </c>
      <c r="E244" s="229" t="s">
        <v>76</v>
      </c>
      <c r="F244" s="229"/>
      <c r="G244">
        <v>4</v>
      </c>
    </row>
    <row r="245" spans="1:7" hidden="1" x14ac:dyDescent="0.2">
      <c r="A245" t="str">
        <f t="shared" si="3"/>
        <v>Configurador OnlineJAVA: EntityASimplesSimples</v>
      </c>
      <c r="B245" s="229" t="s">
        <v>228</v>
      </c>
      <c r="C245" s="229" t="s">
        <v>207</v>
      </c>
      <c r="D245" s="229" t="s">
        <v>25</v>
      </c>
      <c r="E245" s="229" t="s">
        <v>26</v>
      </c>
      <c r="F245" s="229" t="s">
        <v>26</v>
      </c>
      <c r="G245">
        <v>1</v>
      </c>
    </row>
    <row r="246" spans="1:7" hidden="1" x14ac:dyDescent="0.2">
      <c r="A246" t="str">
        <f t="shared" si="3"/>
        <v>Configurador OnlineJAVA: EntityASimplesMédio</v>
      </c>
      <c r="B246" s="229" t="s">
        <v>228</v>
      </c>
      <c r="C246" s="229" t="s">
        <v>207</v>
      </c>
      <c r="D246" s="229" t="s">
        <v>25</v>
      </c>
      <c r="E246" s="229" t="s">
        <v>26</v>
      </c>
      <c r="F246" s="229" t="s">
        <v>75</v>
      </c>
      <c r="G246">
        <v>2</v>
      </c>
    </row>
    <row r="247" spans="1:7" hidden="1" x14ac:dyDescent="0.2">
      <c r="A247" t="str">
        <f t="shared" si="3"/>
        <v>Configurador OnlineJAVA: EntityASimplesComplexo</v>
      </c>
      <c r="B247" s="229" t="s">
        <v>228</v>
      </c>
      <c r="C247" s="229" t="s">
        <v>207</v>
      </c>
      <c r="D247" s="229" t="s">
        <v>25</v>
      </c>
      <c r="E247" s="229" t="s">
        <v>26</v>
      </c>
      <c r="F247" s="229" t="s">
        <v>76</v>
      </c>
      <c r="G247">
        <v>3</v>
      </c>
    </row>
    <row r="248" spans="1:7" hidden="1" x14ac:dyDescent="0.2">
      <c r="A248" t="str">
        <f t="shared" si="3"/>
        <v>Configurador OnlineJAVA: EntityAMédioSimples</v>
      </c>
      <c r="B248" s="229" t="s">
        <v>228</v>
      </c>
      <c r="C248" s="229" t="s">
        <v>207</v>
      </c>
      <c r="D248" s="229" t="s">
        <v>25</v>
      </c>
      <c r="E248" s="229" t="s">
        <v>75</v>
      </c>
      <c r="F248" s="229" t="s">
        <v>26</v>
      </c>
      <c r="G248">
        <v>2</v>
      </c>
    </row>
    <row r="249" spans="1:7" hidden="1" x14ac:dyDescent="0.2">
      <c r="A249" t="str">
        <f t="shared" si="3"/>
        <v>Configurador OnlineJAVA: EntityAMédioMédio</v>
      </c>
      <c r="B249" s="229" t="s">
        <v>228</v>
      </c>
      <c r="C249" s="229" t="s">
        <v>207</v>
      </c>
      <c r="D249" s="229" t="s">
        <v>25</v>
      </c>
      <c r="E249" s="229" t="s">
        <v>75</v>
      </c>
      <c r="F249" s="229" t="s">
        <v>75</v>
      </c>
      <c r="G249">
        <v>3</v>
      </c>
    </row>
    <row r="250" spans="1:7" hidden="1" x14ac:dyDescent="0.2">
      <c r="A250" t="str">
        <f t="shared" si="3"/>
        <v>Configurador OnlineJAVA: EntityAMédioComplexo</v>
      </c>
      <c r="B250" s="229" t="s">
        <v>228</v>
      </c>
      <c r="C250" s="229" t="s">
        <v>207</v>
      </c>
      <c r="D250" s="229" t="s">
        <v>25</v>
      </c>
      <c r="E250" s="229" t="s">
        <v>75</v>
      </c>
      <c r="F250" s="229" t="s">
        <v>76</v>
      </c>
      <c r="G250">
        <v>4</v>
      </c>
    </row>
    <row r="251" spans="1:7" hidden="1" x14ac:dyDescent="0.2">
      <c r="A251" t="str">
        <f t="shared" si="3"/>
        <v>Configurador OnlineJAVA: EntityAComplexoSimples</v>
      </c>
      <c r="B251" s="229" t="s">
        <v>228</v>
      </c>
      <c r="C251" s="229" t="s">
        <v>207</v>
      </c>
      <c r="D251" s="229" t="s">
        <v>25</v>
      </c>
      <c r="E251" s="229" t="s">
        <v>76</v>
      </c>
      <c r="F251" s="229" t="s">
        <v>26</v>
      </c>
      <c r="G251">
        <v>3</v>
      </c>
    </row>
    <row r="252" spans="1:7" hidden="1" x14ac:dyDescent="0.2">
      <c r="A252" t="str">
        <f t="shared" si="3"/>
        <v>Configurador OnlineJAVA: EntityAComplexoMédio</v>
      </c>
      <c r="B252" s="229" t="s">
        <v>228</v>
      </c>
      <c r="C252" s="229" t="s">
        <v>207</v>
      </c>
      <c r="D252" s="229" t="s">
        <v>25</v>
      </c>
      <c r="E252" s="229" t="s">
        <v>76</v>
      </c>
      <c r="F252" s="229" t="s">
        <v>75</v>
      </c>
      <c r="G252">
        <v>5</v>
      </c>
    </row>
    <row r="253" spans="1:7" hidden="1" x14ac:dyDescent="0.2">
      <c r="A253" t="str">
        <f t="shared" si="3"/>
        <v>Configurador OnlineJAVA: EntityAComplexoComplexo</v>
      </c>
      <c r="B253" s="229" t="s">
        <v>228</v>
      </c>
      <c r="C253" s="229" t="s">
        <v>207</v>
      </c>
      <c r="D253" s="229" t="s">
        <v>25</v>
      </c>
      <c r="E253" s="229" t="s">
        <v>76</v>
      </c>
      <c r="F253" s="229" t="s">
        <v>76</v>
      </c>
      <c r="G253">
        <v>8</v>
      </c>
    </row>
    <row r="254" spans="1:7" hidden="1" x14ac:dyDescent="0.2">
      <c r="A254" t="str">
        <f t="shared" si="3"/>
        <v>Configurador OnlineJAVA: Consulta Banco de DadosNSimples</v>
      </c>
      <c r="B254" s="229" t="s">
        <v>228</v>
      </c>
      <c r="C254" s="229" t="s">
        <v>208</v>
      </c>
      <c r="D254" s="229" t="s">
        <v>24</v>
      </c>
      <c r="E254" s="229" t="s">
        <v>26</v>
      </c>
      <c r="F254" s="229"/>
      <c r="G254">
        <v>2</v>
      </c>
    </row>
    <row r="255" spans="1:7" hidden="1" x14ac:dyDescent="0.2">
      <c r="A255" t="str">
        <f t="shared" si="3"/>
        <v>Configurador OnlineJAVA: Consulta Banco de DadosNMédio</v>
      </c>
      <c r="B255" s="229" t="s">
        <v>228</v>
      </c>
      <c r="C255" s="229" t="s">
        <v>208</v>
      </c>
      <c r="D255" s="229" t="s">
        <v>24</v>
      </c>
      <c r="E255" s="229" t="s">
        <v>75</v>
      </c>
      <c r="F255" s="229"/>
      <c r="G255">
        <v>5</v>
      </c>
    </row>
    <row r="256" spans="1:7" hidden="1" x14ac:dyDescent="0.2">
      <c r="A256" t="str">
        <f t="shared" si="3"/>
        <v>Configurador OnlineJAVA: Consulta Banco de DadosNComplexo</v>
      </c>
      <c r="B256" s="229" t="s">
        <v>228</v>
      </c>
      <c r="C256" s="229" t="s">
        <v>208</v>
      </c>
      <c r="D256" s="229" t="s">
        <v>24</v>
      </c>
      <c r="E256" s="229" t="s">
        <v>76</v>
      </c>
      <c r="F256" s="229"/>
      <c r="G256">
        <v>8</v>
      </c>
    </row>
    <row r="257" spans="1:7" hidden="1" x14ac:dyDescent="0.2">
      <c r="A257" t="str">
        <f t="shared" si="3"/>
        <v>Configurador OnlineJAVA: Consulta Banco de DadosASimplesSimples</v>
      </c>
      <c r="B257" s="229" t="s">
        <v>228</v>
      </c>
      <c r="C257" s="229" t="s">
        <v>208</v>
      </c>
      <c r="D257" s="229" t="s">
        <v>25</v>
      </c>
      <c r="E257" s="229" t="s">
        <v>26</v>
      </c>
      <c r="F257" s="229" t="s">
        <v>26</v>
      </c>
      <c r="G257">
        <v>2</v>
      </c>
    </row>
    <row r="258" spans="1:7" hidden="1" x14ac:dyDescent="0.2">
      <c r="A258" t="str">
        <f t="shared" si="3"/>
        <v>Configurador OnlineJAVA: Consulta Banco de DadosASimplesMédio</v>
      </c>
      <c r="B258" s="229" t="s">
        <v>228</v>
      </c>
      <c r="C258" s="229" t="s">
        <v>208</v>
      </c>
      <c r="D258" s="229" t="s">
        <v>25</v>
      </c>
      <c r="E258" s="229" t="s">
        <v>26</v>
      </c>
      <c r="F258" s="229" t="s">
        <v>75</v>
      </c>
      <c r="G258">
        <v>4</v>
      </c>
    </row>
    <row r="259" spans="1:7" hidden="1" x14ac:dyDescent="0.2">
      <c r="A259" t="str">
        <f t="shared" ref="A259:A322" si="4">B259&amp;C259&amp;D259&amp;E259&amp;F259</f>
        <v>Configurador OnlineJAVA: Consulta Banco de DadosASimplesComplexo</v>
      </c>
      <c r="B259" s="229" t="s">
        <v>228</v>
      </c>
      <c r="C259" s="229" t="s">
        <v>208</v>
      </c>
      <c r="D259" s="229" t="s">
        <v>25</v>
      </c>
      <c r="E259" s="229" t="s">
        <v>26</v>
      </c>
      <c r="F259" s="229" t="s">
        <v>76</v>
      </c>
      <c r="G259">
        <v>6</v>
      </c>
    </row>
    <row r="260" spans="1:7" hidden="1" x14ac:dyDescent="0.2">
      <c r="A260" t="str">
        <f t="shared" si="4"/>
        <v>Configurador OnlineJAVA: Consulta Banco de DadosAMédioSimples</v>
      </c>
      <c r="B260" s="229" t="s">
        <v>228</v>
      </c>
      <c r="C260" s="229" t="s">
        <v>208</v>
      </c>
      <c r="D260" s="229" t="s">
        <v>25</v>
      </c>
      <c r="E260" s="229" t="s">
        <v>75</v>
      </c>
      <c r="F260" s="229" t="s">
        <v>26</v>
      </c>
      <c r="G260">
        <v>3</v>
      </c>
    </row>
    <row r="261" spans="1:7" hidden="1" x14ac:dyDescent="0.2">
      <c r="A261" t="str">
        <f t="shared" si="4"/>
        <v>Configurador OnlineJAVA: Consulta Banco de DadosAMédioMédio</v>
      </c>
      <c r="B261" s="229" t="s">
        <v>228</v>
      </c>
      <c r="C261" s="229" t="s">
        <v>208</v>
      </c>
      <c r="D261" s="229" t="s">
        <v>25</v>
      </c>
      <c r="E261" s="229" t="s">
        <v>75</v>
      </c>
      <c r="F261" s="229" t="s">
        <v>75</v>
      </c>
      <c r="G261">
        <v>6</v>
      </c>
    </row>
    <row r="262" spans="1:7" hidden="1" x14ac:dyDescent="0.2">
      <c r="A262" t="str">
        <f t="shared" si="4"/>
        <v>Configurador OnlineJAVA: Consulta Banco de DadosAMédioComplexo</v>
      </c>
      <c r="B262" s="229" t="s">
        <v>228</v>
      </c>
      <c r="C262" s="229" t="s">
        <v>208</v>
      </c>
      <c r="D262" s="229" t="s">
        <v>25</v>
      </c>
      <c r="E262" s="229" t="s">
        <v>75</v>
      </c>
      <c r="F262" s="229" t="s">
        <v>76</v>
      </c>
      <c r="G262">
        <v>8</v>
      </c>
    </row>
    <row r="263" spans="1:7" hidden="1" x14ac:dyDescent="0.2">
      <c r="A263" t="str">
        <f t="shared" si="4"/>
        <v>Configurador OnlineJAVA: Consulta Banco de DadosAComplexoSimples</v>
      </c>
      <c r="B263" s="229" t="s">
        <v>228</v>
      </c>
      <c r="C263" s="229" t="s">
        <v>208</v>
      </c>
      <c r="D263" s="229" t="s">
        <v>25</v>
      </c>
      <c r="E263" s="229" t="s">
        <v>76</v>
      </c>
      <c r="F263" s="229" t="s">
        <v>26</v>
      </c>
      <c r="G263">
        <v>5</v>
      </c>
    </row>
    <row r="264" spans="1:7" hidden="1" x14ac:dyDescent="0.2">
      <c r="A264" t="str">
        <f t="shared" si="4"/>
        <v>Configurador OnlineJAVA: Consulta Banco de DadosAComplexoMédio</v>
      </c>
      <c r="B264" s="229" t="s">
        <v>228</v>
      </c>
      <c r="C264" s="229" t="s">
        <v>208</v>
      </c>
      <c r="D264" s="229" t="s">
        <v>25</v>
      </c>
      <c r="E264" s="229" t="s">
        <v>76</v>
      </c>
      <c r="F264" s="229" t="s">
        <v>75</v>
      </c>
      <c r="G264">
        <v>8</v>
      </c>
    </row>
    <row r="265" spans="1:7" hidden="1" x14ac:dyDescent="0.2">
      <c r="A265" t="str">
        <f t="shared" si="4"/>
        <v>Configurador OnlineJAVA: Consulta Banco de DadosAComplexoComplexo</v>
      </c>
      <c r="B265" s="229" t="s">
        <v>228</v>
      </c>
      <c r="C265" s="229" t="s">
        <v>208</v>
      </c>
      <c r="D265" s="229" t="s">
        <v>25</v>
      </c>
      <c r="E265" s="229" t="s">
        <v>76</v>
      </c>
      <c r="F265" s="229" t="s">
        <v>76</v>
      </c>
      <c r="G265">
        <v>10</v>
      </c>
    </row>
    <row r="266" spans="1:7" hidden="1" x14ac:dyDescent="0.2">
      <c r="A266" t="str">
        <f t="shared" si="4"/>
        <v>Configurador OnlineJAVA: Geração de StubsNSimples</v>
      </c>
      <c r="B266" s="229" t="s">
        <v>228</v>
      </c>
      <c r="C266" s="229" t="s">
        <v>209</v>
      </c>
      <c r="D266" s="229" t="s">
        <v>24</v>
      </c>
      <c r="E266" s="229" t="s">
        <v>26</v>
      </c>
      <c r="F266" s="229"/>
      <c r="G266">
        <v>1</v>
      </c>
    </row>
    <row r="267" spans="1:7" hidden="1" x14ac:dyDescent="0.2">
      <c r="A267" t="str">
        <f t="shared" si="4"/>
        <v>Configurador OnlineJAVA: Geração de StubsNMédio</v>
      </c>
      <c r="B267" s="229" t="s">
        <v>228</v>
      </c>
      <c r="C267" s="229" t="s">
        <v>209</v>
      </c>
      <c r="D267" s="229" t="s">
        <v>24</v>
      </c>
      <c r="E267" s="229" t="s">
        <v>75</v>
      </c>
      <c r="F267" s="229"/>
      <c r="G267">
        <v>3</v>
      </c>
    </row>
    <row r="268" spans="1:7" hidden="1" x14ac:dyDescent="0.2">
      <c r="A268" t="str">
        <f t="shared" si="4"/>
        <v>Configurador OnlineJAVA: Geração de StubsNComplexo</v>
      </c>
      <c r="B268" s="229" t="s">
        <v>228</v>
      </c>
      <c r="C268" s="229" t="s">
        <v>209</v>
      </c>
      <c r="D268" s="229" t="s">
        <v>24</v>
      </c>
      <c r="E268" s="229" t="s">
        <v>76</v>
      </c>
      <c r="F268" s="229"/>
      <c r="G268">
        <v>8</v>
      </c>
    </row>
    <row r="269" spans="1:7" hidden="1" x14ac:dyDescent="0.2">
      <c r="A269" t="str">
        <f t="shared" si="4"/>
        <v>Configurador OnlineJAVA: Geração de StubsASimplesSimples</v>
      </c>
      <c r="B269" s="229" t="s">
        <v>228</v>
      </c>
      <c r="C269" s="229" t="s">
        <v>209</v>
      </c>
      <c r="D269" s="229" t="s">
        <v>25</v>
      </c>
      <c r="E269" s="229" t="s">
        <v>26</v>
      </c>
      <c r="F269" s="229" t="s">
        <v>26</v>
      </c>
      <c r="G269">
        <v>1</v>
      </c>
    </row>
    <row r="270" spans="1:7" hidden="1" x14ac:dyDescent="0.2">
      <c r="A270" t="str">
        <f t="shared" si="4"/>
        <v>Configurador OnlineJAVA: Geração de StubsASimplesMédio</v>
      </c>
      <c r="B270" s="229" t="s">
        <v>228</v>
      </c>
      <c r="C270" s="229" t="s">
        <v>209</v>
      </c>
      <c r="D270" s="229" t="s">
        <v>25</v>
      </c>
      <c r="E270" s="229" t="s">
        <v>26</v>
      </c>
      <c r="F270" s="229" t="s">
        <v>75</v>
      </c>
      <c r="G270">
        <v>2</v>
      </c>
    </row>
    <row r="271" spans="1:7" hidden="1" x14ac:dyDescent="0.2">
      <c r="A271" t="str">
        <f t="shared" si="4"/>
        <v>Configurador OnlineJAVA: Geração de StubsASimplesComplexo</v>
      </c>
      <c r="B271" s="229" t="s">
        <v>228</v>
      </c>
      <c r="C271" s="229" t="s">
        <v>209</v>
      </c>
      <c r="D271" s="229" t="s">
        <v>25</v>
      </c>
      <c r="E271" s="229" t="s">
        <v>26</v>
      </c>
      <c r="F271" s="229" t="s">
        <v>76</v>
      </c>
      <c r="G271">
        <v>3</v>
      </c>
    </row>
    <row r="272" spans="1:7" hidden="1" x14ac:dyDescent="0.2">
      <c r="A272" t="str">
        <f t="shared" si="4"/>
        <v>Configurador OnlineJAVA: Geração de StubsAMédioSimples</v>
      </c>
      <c r="B272" s="229" t="s">
        <v>228</v>
      </c>
      <c r="C272" s="229" t="s">
        <v>209</v>
      </c>
      <c r="D272" s="229" t="s">
        <v>25</v>
      </c>
      <c r="E272" s="229" t="s">
        <v>75</v>
      </c>
      <c r="F272" s="229" t="s">
        <v>26</v>
      </c>
      <c r="G272">
        <v>2</v>
      </c>
    </row>
    <row r="273" spans="1:7" hidden="1" x14ac:dyDescent="0.2">
      <c r="A273" t="str">
        <f t="shared" si="4"/>
        <v>Configurador OnlineJAVA: Geração de StubsAMédioMédio</v>
      </c>
      <c r="B273" s="229" t="s">
        <v>228</v>
      </c>
      <c r="C273" s="229" t="s">
        <v>209</v>
      </c>
      <c r="D273" s="229" t="s">
        <v>25</v>
      </c>
      <c r="E273" s="229" t="s">
        <v>75</v>
      </c>
      <c r="F273" s="229" t="s">
        <v>75</v>
      </c>
      <c r="G273">
        <v>3</v>
      </c>
    </row>
    <row r="274" spans="1:7" hidden="1" x14ac:dyDescent="0.2">
      <c r="A274" t="str">
        <f t="shared" si="4"/>
        <v>Configurador OnlineJAVA: Geração de StubsAMédioComplexo</v>
      </c>
      <c r="B274" s="229" t="s">
        <v>228</v>
      </c>
      <c r="C274" s="229" t="s">
        <v>209</v>
      </c>
      <c r="D274" s="229" t="s">
        <v>25</v>
      </c>
      <c r="E274" s="229" t="s">
        <v>75</v>
      </c>
      <c r="F274" s="229" t="s">
        <v>76</v>
      </c>
      <c r="G274">
        <v>5</v>
      </c>
    </row>
    <row r="275" spans="1:7" hidden="1" x14ac:dyDescent="0.2">
      <c r="A275" t="str">
        <f t="shared" si="4"/>
        <v>Configurador OnlineJAVA: Geração de StubsAComplexoSimples</v>
      </c>
      <c r="B275" s="229" t="s">
        <v>228</v>
      </c>
      <c r="C275" s="229" t="s">
        <v>209</v>
      </c>
      <c r="D275" s="229" t="s">
        <v>25</v>
      </c>
      <c r="E275" s="229" t="s">
        <v>76</v>
      </c>
      <c r="F275" s="229" t="s">
        <v>26</v>
      </c>
      <c r="G275">
        <v>4</v>
      </c>
    </row>
    <row r="276" spans="1:7" hidden="1" x14ac:dyDescent="0.2">
      <c r="A276" t="str">
        <f t="shared" si="4"/>
        <v>Configurador OnlineJAVA: Geração de StubsAComplexoMédio</v>
      </c>
      <c r="B276" s="229" t="s">
        <v>228</v>
      </c>
      <c r="C276" s="229" t="s">
        <v>209</v>
      </c>
      <c r="D276" s="229" t="s">
        <v>25</v>
      </c>
      <c r="E276" s="229" t="s">
        <v>76</v>
      </c>
      <c r="F276" s="229" t="s">
        <v>75</v>
      </c>
      <c r="G276">
        <v>6</v>
      </c>
    </row>
    <row r="277" spans="1:7" hidden="1" x14ac:dyDescent="0.2">
      <c r="A277" t="str">
        <f t="shared" si="4"/>
        <v>Configurador OnlineJAVA: Geração de StubsAComplexoComplexo</v>
      </c>
      <c r="B277" s="229" t="s">
        <v>228</v>
      </c>
      <c r="C277" s="229" t="s">
        <v>209</v>
      </c>
      <c r="D277" s="229" t="s">
        <v>25</v>
      </c>
      <c r="E277" s="229" t="s">
        <v>76</v>
      </c>
      <c r="F277" s="229" t="s">
        <v>76</v>
      </c>
      <c r="G277">
        <v>8</v>
      </c>
    </row>
    <row r="278" spans="1:7" hidden="1" x14ac:dyDescent="0.2">
      <c r="A278" t="str">
        <f t="shared" si="4"/>
        <v>Configurador OnlineJSPNSimples</v>
      </c>
      <c r="B278" s="229" t="s">
        <v>228</v>
      </c>
      <c r="C278" s="229" t="s">
        <v>210</v>
      </c>
      <c r="D278" s="229" t="s">
        <v>24</v>
      </c>
      <c r="E278" s="229" t="s">
        <v>26</v>
      </c>
      <c r="F278" s="229"/>
      <c r="G278">
        <v>12</v>
      </c>
    </row>
    <row r="279" spans="1:7" hidden="1" x14ac:dyDescent="0.2">
      <c r="A279" t="str">
        <f t="shared" si="4"/>
        <v>Configurador OnlineJSPNMédio</v>
      </c>
      <c r="B279" s="229" t="s">
        <v>228</v>
      </c>
      <c r="C279" s="229" t="s">
        <v>210</v>
      </c>
      <c r="D279" s="229" t="s">
        <v>24</v>
      </c>
      <c r="E279" s="229" t="s">
        <v>75</v>
      </c>
      <c r="F279" s="229"/>
      <c r="G279">
        <v>18</v>
      </c>
    </row>
    <row r="280" spans="1:7" hidden="1" x14ac:dyDescent="0.2">
      <c r="A280" t="str">
        <f t="shared" si="4"/>
        <v>Configurador OnlineJSPNComplexo</v>
      </c>
      <c r="B280" s="229" t="s">
        <v>228</v>
      </c>
      <c r="C280" s="229" t="s">
        <v>210</v>
      </c>
      <c r="D280" s="229" t="s">
        <v>24</v>
      </c>
      <c r="E280" s="229" t="s">
        <v>76</v>
      </c>
      <c r="F280" s="229"/>
      <c r="G280">
        <v>24</v>
      </c>
    </row>
    <row r="281" spans="1:7" hidden="1" x14ac:dyDescent="0.2">
      <c r="A281" t="str">
        <f t="shared" si="4"/>
        <v>Configurador OnlineJSPASimplesSimples</v>
      </c>
      <c r="B281" s="229" t="s">
        <v>228</v>
      </c>
      <c r="C281" s="229" t="s">
        <v>210</v>
      </c>
      <c r="D281" s="229" t="s">
        <v>25</v>
      </c>
      <c r="E281" s="229" t="s">
        <v>26</v>
      </c>
      <c r="F281" s="229" t="s">
        <v>26</v>
      </c>
      <c r="G281">
        <v>5</v>
      </c>
    </row>
    <row r="282" spans="1:7" hidden="1" x14ac:dyDescent="0.2">
      <c r="A282" t="str">
        <f t="shared" si="4"/>
        <v>Configurador OnlineJSPASimplesMédio</v>
      </c>
      <c r="B282" s="229" t="s">
        <v>228</v>
      </c>
      <c r="C282" s="229" t="s">
        <v>210</v>
      </c>
      <c r="D282" s="229" t="s">
        <v>25</v>
      </c>
      <c r="E282" s="229" t="s">
        <v>26</v>
      </c>
      <c r="F282" s="229" t="s">
        <v>75</v>
      </c>
      <c r="G282">
        <v>8</v>
      </c>
    </row>
    <row r="283" spans="1:7" hidden="1" x14ac:dyDescent="0.2">
      <c r="A283" t="str">
        <f t="shared" si="4"/>
        <v>Configurador OnlineJSPASimplesComplexo</v>
      </c>
      <c r="B283" s="229" t="s">
        <v>228</v>
      </c>
      <c r="C283" s="229" t="s">
        <v>210</v>
      </c>
      <c r="D283" s="229" t="s">
        <v>25</v>
      </c>
      <c r="E283" s="229" t="s">
        <v>26</v>
      </c>
      <c r="F283" s="229" t="s">
        <v>76</v>
      </c>
      <c r="G283">
        <v>10</v>
      </c>
    </row>
    <row r="284" spans="1:7" hidden="1" x14ac:dyDescent="0.2">
      <c r="A284" t="str">
        <f t="shared" si="4"/>
        <v>Configurador OnlineJSPAMédioSimples</v>
      </c>
      <c r="B284" s="229" t="s">
        <v>228</v>
      </c>
      <c r="C284" s="229" t="s">
        <v>210</v>
      </c>
      <c r="D284" s="229" t="s">
        <v>25</v>
      </c>
      <c r="E284" s="229" t="s">
        <v>75</v>
      </c>
      <c r="F284" s="229" t="s">
        <v>26</v>
      </c>
      <c r="G284">
        <v>8</v>
      </c>
    </row>
    <row r="285" spans="1:7" hidden="1" x14ac:dyDescent="0.2">
      <c r="A285" t="str">
        <f t="shared" si="4"/>
        <v>Configurador OnlineJSPAMédioMédio</v>
      </c>
      <c r="B285" s="229" t="s">
        <v>228</v>
      </c>
      <c r="C285" s="229" t="s">
        <v>210</v>
      </c>
      <c r="D285" s="229" t="s">
        <v>25</v>
      </c>
      <c r="E285" s="229" t="s">
        <v>75</v>
      </c>
      <c r="F285" s="229" t="s">
        <v>75</v>
      </c>
      <c r="G285">
        <v>10</v>
      </c>
    </row>
    <row r="286" spans="1:7" hidden="1" x14ac:dyDescent="0.2">
      <c r="A286" t="str">
        <f t="shared" si="4"/>
        <v>Configurador OnlineJSPAMédioComplexo</v>
      </c>
      <c r="B286" s="229" t="s">
        <v>228</v>
      </c>
      <c r="C286" s="229" t="s">
        <v>210</v>
      </c>
      <c r="D286" s="229" t="s">
        <v>25</v>
      </c>
      <c r="E286" s="229" t="s">
        <v>75</v>
      </c>
      <c r="F286" s="229" t="s">
        <v>76</v>
      </c>
      <c r="G286">
        <v>12</v>
      </c>
    </row>
    <row r="287" spans="1:7" hidden="1" x14ac:dyDescent="0.2">
      <c r="A287" t="str">
        <f t="shared" si="4"/>
        <v>Configurador OnlineJSPAComplexoSimples</v>
      </c>
      <c r="B287" s="229" t="s">
        <v>228</v>
      </c>
      <c r="C287" s="229" t="s">
        <v>210</v>
      </c>
      <c r="D287" s="229" t="s">
        <v>25</v>
      </c>
      <c r="E287" s="229" t="s">
        <v>76</v>
      </c>
      <c r="F287" s="229" t="s">
        <v>26</v>
      </c>
      <c r="G287">
        <v>6</v>
      </c>
    </row>
    <row r="288" spans="1:7" hidden="1" x14ac:dyDescent="0.2">
      <c r="A288" t="str">
        <f t="shared" si="4"/>
        <v>Configurador OnlineJSPAComplexoMédio</v>
      </c>
      <c r="B288" s="229" t="s">
        <v>228</v>
      </c>
      <c r="C288" s="229" t="s">
        <v>210</v>
      </c>
      <c r="D288" s="229" t="s">
        <v>25</v>
      </c>
      <c r="E288" s="229" t="s">
        <v>76</v>
      </c>
      <c r="F288" s="229" t="s">
        <v>75</v>
      </c>
      <c r="G288">
        <v>12</v>
      </c>
    </row>
    <row r="289" spans="1:7" hidden="1" x14ac:dyDescent="0.2">
      <c r="A289" t="str">
        <f t="shared" si="4"/>
        <v>Configurador OnlineJSPAComplexoComplexo</v>
      </c>
      <c r="B289" s="229" t="s">
        <v>228</v>
      </c>
      <c r="C289" s="229" t="s">
        <v>210</v>
      </c>
      <c r="D289" s="229" t="s">
        <v>25</v>
      </c>
      <c r="E289" s="229" t="s">
        <v>76</v>
      </c>
      <c r="F289" s="229" t="s">
        <v>76</v>
      </c>
      <c r="G289">
        <v>22</v>
      </c>
    </row>
    <row r="290" spans="1:7" hidden="1" x14ac:dyDescent="0.2">
      <c r="A290" t="str">
        <f t="shared" si="4"/>
        <v>Configurador OnlineConfiguração Projeto/MóduloNSimples</v>
      </c>
      <c r="B290" s="229" t="s">
        <v>228</v>
      </c>
      <c r="C290" s="229" t="s">
        <v>221</v>
      </c>
      <c r="D290" s="229" t="s">
        <v>24</v>
      </c>
      <c r="E290" s="229" t="s">
        <v>26</v>
      </c>
      <c r="F290" s="229"/>
      <c r="G290">
        <v>2</v>
      </c>
    </row>
    <row r="291" spans="1:7" hidden="1" x14ac:dyDescent="0.2">
      <c r="A291" t="str">
        <f t="shared" si="4"/>
        <v>Configurador OnlineConfiguração Projeto/MóduloNMédio</v>
      </c>
      <c r="B291" s="229" t="s">
        <v>228</v>
      </c>
      <c r="C291" s="229" t="s">
        <v>221</v>
      </c>
      <c r="D291" s="229" t="s">
        <v>24</v>
      </c>
      <c r="E291" s="229" t="s">
        <v>75</v>
      </c>
      <c r="F291" s="229"/>
      <c r="G291">
        <v>4</v>
      </c>
    </row>
    <row r="292" spans="1:7" hidden="1" x14ac:dyDescent="0.2">
      <c r="A292" t="str">
        <f t="shared" si="4"/>
        <v>Configurador OnlineConfiguração Projeto/MóduloNComplexo</v>
      </c>
      <c r="B292" s="229" t="s">
        <v>228</v>
      </c>
      <c r="C292" s="229" t="s">
        <v>221</v>
      </c>
      <c r="D292" s="229" t="s">
        <v>24</v>
      </c>
      <c r="E292" s="229" t="s">
        <v>76</v>
      </c>
      <c r="F292" s="229"/>
      <c r="G292">
        <v>8</v>
      </c>
    </row>
    <row r="293" spans="1:7" hidden="1" x14ac:dyDescent="0.2">
      <c r="A293" t="str">
        <f t="shared" si="4"/>
        <v>Configurador OnlineConfiguração Projeto/MóduloASimplesSimples</v>
      </c>
      <c r="B293" s="229" t="s">
        <v>228</v>
      </c>
      <c r="C293" s="229" t="s">
        <v>221</v>
      </c>
      <c r="D293" s="229" t="s">
        <v>25</v>
      </c>
      <c r="E293" s="229" t="s">
        <v>26</v>
      </c>
      <c r="F293" s="229" t="s">
        <v>26</v>
      </c>
      <c r="G293">
        <v>1</v>
      </c>
    </row>
    <row r="294" spans="1:7" hidden="1" x14ac:dyDescent="0.2">
      <c r="A294" t="str">
        <f t="shared" si="4"/>
        <v>Configurador OnlineConfiguração Projeto/MóduloASimplesMédio</v>
      </c>
      <c r="B294" s="229" t="s">
        <v>228</v>
      </c>
      <c r="C294" s="229" t="s">
        <v>221</v>
      </c>
      <c r="D294" s="229" t="s">
        <v>25</v>
      </c>
      <c r="E294" s="229" t="s">
        <v>26</v>
      </c>
      <c r="F294" s="229" t="s">
        <v>75</v>
      </c>
      <c r="G294">
        <v>2</v>
      </c>
    </row>
    <row r="295" spans="1:7" hidden="1" x14ac:dyDescent="0.2">
      <c r="A295" t="str">
        <f t="shared" si="4"/>
        <v>Configurador OnlineConfiguração Projeto/MóduloASimplesComplexo</v>
      </c>
      <c r="B295" s="229" t="s">
        <v>228</v>
      </c>
      <c r="C295" s="229" t="s">
        <v>221</v>
      </c>
      <c r="D295" s="229" t="s">
        <v>25</v>
      </c>
      <c r="E295" s="229" t="s">
        <v>26</v>
      </c>
      <c r="F295" s="229" t="s">
        <v>76</v>
      </c>
      <c r="G295">
        <v>4</v>
      </c>
    </row>
    <row r="296" spans="1:7" hidden="1" x14ac:dyDescent="0.2">
      <c r="A296" t="str">
        <f t="shared" si="4"/>
        <v>Configurador OnlineConfiguração Projeto/MóduloAMédioSimples</v>
      </c>
      <c r="B296" s="229" t="s">
        <v>228</v>
      </c>
      <c r="C296" s="229" t="s">
        <v>221</v>
      </c>
      <c r="D296" s="229" t="s">
        <v>25</v>
      </c>
      <c r="E296" s="229" t="s">
        <v>75</v>
      </c>
      <c r="F296" s="229" t="s">
        <v>26</v>
      </c>
      <c r="G296">
        <v>2</v>
      </c>
    </row>
    <row r="297" spans="1:7" hidden="1" x14ac:dyDescent="0.2">
      <c r="A297" t="str">
        <f t="shared" si="4"/>
        <v>Configurador OnlineConfiguração Projeto/MóduloAMédioMédio</v>
      </c>
      <c r="B297" s="229" t="s">
        <v>228</v>
      </c>
      <c r="C297" s="229" t="s">
        <v>221</v>
      </c>
      <c r="D297" s="229" t="s">
        <v>25</v>
      </c>
      <c r="E297" s="229" t="s">
        <v>75</v>
      </c>
      <c r="F297" s="229" t="s">
        <v>75</v>
      </c>
      <c r="G297">
        <v>4</v>
      </c>
    </row>
    <row r="298" spans="1:7" hidden="1" x14ac:dyDescent="0.2">
      <c r="A298" t="str">
        <f t="shared" si="4"/>
        <v>Configurador OnlineConfiguração Projeto/MóduloAMédioComplexo</v>
      </c>
      <c r="B298" s="229" t="s">
        <v>228</v>
      </c>
      <c r="C298" s="229" t="s">
        <v>221</v>
      </c>
      <c r="D298" s="229" t="s">
        <v>25</v>
      </c>
      <c r="E298" s="229" t="s">
        <v>75</v>
      </c>
      <c r="F298" s="229" t="s">
        <v>76</v>
      </c>
      <c r="G298">
        <v>5</v>
      </c>
    </row>
    <row r="299" spans="1:7" hidden="1" x14ac:dyDescent="0.2">
      <c r="A299" t="str">
        <f t="shared" si="4"/>
        <v>Configurador OnlineConfiguração Projeto/MóduloAComplexoSimples</v>
      </c>
      <c r="B299" s="229" t="s">
        <v>228</v>
      </c>
      <c r="C299" s="229" t="s">
        <v>221</v>
      </c>
      <c r="D299" s="229" t="s">
        <v>25</v>
      </c>
      <c r="E299" s="229" t="s">
        <v>76</v>
      </c>
      <c r="F299" s="229" t="s">
        <v>26</v>
      </c>
      <c r="G299">
        <v>5</v>
      </c>
    </row>
    <row r="300" spans="1:7" hidden="1" x14ac:dyDescent="0.2">
      <c r="A300" t="str">
        <f t="shared" si="4"/>
        <v>Configurador OnlineConfiguração Projeto/MóduloAComplexoMédio</v>
      </c>
      <c r="B300" s="229" t="s">
        <v>228</v>
      </c>
      <c r="C300" s="229" t="s">
        <v>221</v>
      </c>
      <c r="D300" s="229" t="s">
        <v>25</v>
      </c>
      <c r="E300" s="229" t="s">
        <v>76</v>
      </c>
      <c r="F300" s="229" t="s">
        <v>75</v>
      </c>
      <c r="G300">
        <v>7</v>
      </c>
    </row>
    <row r="301" spans="1:7" hidden="1" x14ac:dyDescent="0.2">
      <c r="A301" t="str">
        <f t="shared" si="4"/>
        <v>Configurador OnlineConfiguração Projeto/MóduloAComplexoComplexo</v>
      </c>
      <c r="B301" s="229" t="s">
        <v>228</v>
      </c>
      <c r="C301" s="229" t="s">
        <v>221</v>
      </c>
      <c r="D301" s="229" t="s">
        <v>25</v>
      </c>
      <c r="E301" s="229" t="s">
        <v>76</v>
      </c>
      <c r="F301" s="229" t="s">
        <v>76</v>
      </c>
      <c r="G301">
        <v>8</v>
      </c>
    </row>
    <row r="302" spans="1:7" hidden="1" x14ac:dyDescent="0.2">
      <c r="A302" t="str">
        <f t="shared" si="4"/>
        <v>NECServiceRegraDroolsNSimples</v>
      </c>
      <c r="B302" s="229" t="s">
        <v>199</v>
      </c>
      <c r="C302" s="229" t="s">
        <v>218</v>
      </c>
      <c r="D302" s="229" t="s">
        <v>24</v>
      </c>
      <c r="E302" s="229" t="s">
        <v>26</v>
      </c>
      <c r="F302" s="229"/>
      <c r="G302">
        <v>3</v>
      </c>
    </row>
    <row r="303" spans="1:7" hidden="1" x14ac:dyDescent="0.2">
      <c r="A303" t="str">
        <f t="shared" si="4"/>
        <v>NECServiceRegraDroolsNMédio</v>
      </c>
      <c r="B303" s="229" t="s">
        <v>199</v>
      </c>
      <c r="C303" s="229" t="s">
        <v>218</v>
      </c>
      <c r="D303" s="229" t="s">
        <v>24</v>
      </c>
      <c r="E303" s="229" t="s">
        <v>75</v>
      </c>
      <c r="F303" s="229"/>
      <c r="G303">
        <v>5</v>
      </c>
    </row>
    <row r="304" spans="1:7" hidden="1" x14ac:dyDescent="0.2">
      <c r="A304" t="str">
        <f t="shared" si="4"/>
        <v>NECServiceRegraDroolsNComplexo</v>
      </c>
      <c r="B304" s="229" t="s">
        <v>199</v>
      </c>
      <c r="C304" s="229" t="s">
        <v>218</v>
      </c>
      <c r="D304" s="229" t="s">
        <v>24</v>
      </c>
      <c r="E304" s="229" t="s">
        <v>76</v>
      </c>
      <c r="F304" s="229"/>
      <c r="G304">
        <v>9</v>
      </c>
    </row>
    <row r="305" spans="1:7" hidden="1" x14ac:dyDescent="0.2">
      <c r="A305" t="str">
        <f t="shared" si="4"/>
        <v>NECServiceRegraDroolsASimplesSimples</v>
      </c>
      <c r="B305" s="229" t="s">
        <v>199</v>
      </c>
      <c r="C305" s="229" t="s">
        <v>218</v>
      </c>
      <c r="D305" s="229" t="s">
        <v>25</v>
      </c>
      <c r="E305" s="229" t="s">
        <v>26</v>
      </c>
      <c r="F305" s="229" t="s">
        <v>26</v>
      </c>
      <c r="G305">
        <v>2</v>
      </c>
    </row>
    <row r="306" spans="1:7" hidden="1" x14ac:dyDescent="0.2">
      <c r="A306" t="str">
        <f t="shared" si="4"/>
        <v>NECServiceRegraDroolsASimplesMédio</v>
      </c>
      <c r="B306" s="229" t="s">
        <v>199</v>
      </c>
      <c r="C306" s="229" t="s">
        <v>218</v>
      </c>
      <c r="D306" s="229" t="s">
        <v>25</v>
      </c>
      <c r="E306" s="229" t="s">
        <v>26</v>
      </c>
      <c r="F306" s="229" t="s">
        <v>75</v>
      </c>
      <c r="G306">
        <v>4</v>
      </c>
    </row>
    <row r="307" spans="1:7" hidden="1" x14ac:dyDescent="0.2">
      <c r="A307" t="str">
        <f t="shared" si="4"/>
        <v>NECServiceRegraDroolsASimplesComplexo</v>
      </c>
      <c r="B307" s="229" t="s">
        <v>199</v>
      </c>
      <c r="C307" s="229" t="s">
        <v>218</v>
      </c>
      <c r="D307" s="229" t="s">
        <v>25</v>
      </c>
      <c r="E307" s="229" t="s">
        <v>26</v>
      </c>
      <c r="F307" s="229" t="s">
        <v>76</v>
      </c>
      <c r="G307">
        <v>6</v>
      </c>
    </row>
    <row r="308" spans="1:7" hidden="1" x14ac:dyDescent="0.2">
      <c r="A308" t="str">
        <f t="shared" si="4"/>
        <v>NECServiceRegraDroolsAMédioSimples</v>
      </c>
      <c r="B308" s="229" t="s">
        <v>199</v>
      </c>
      <c r="C308" s="229" t="s">
        <v>218</v>
      </c>
      <c r="D308" s="229" t="s">
        <v>25</v>
      </c>
      <c r="E308" s="229" t="s">
        <v>75</v>
      </c>
      <c r="F308" s="229" t="s">
        <v>26</v>
      </c>
      <c r="G308">
        <v>3</v>
      </c>
    </row>
    <row r="309" spans="1:7" hidden="1" x14ac:dyDescent="0.2">
      <c r="A309" t="str">
        <f t="shared" si="4"/>
        <v>NECServiceRegraDroolsAMédioMédio</v>
      </c>
      <c r="B309" s="229" t="s">
        <v>199</v>
      </c>
      <c r="C309" s="229" t="s">
        <v>218</v>
      </c>
      <c r="D309" s="229" t="s">
        <v>25</v>
      </c>
      <c r="E309" s="229" t="s">
        <v>75</v>
      </c>
      <c r="F309" s="229" t="s">
        <v>75</v>
      </c>
      <c r="G309">
        <v>6</v>
      </c>
    </row>
    <row r="310" spans="1:7" hidden="1" x14ac:dyDescent="0.2">
      <c r="A310" t="str">
        <f t="shared" si="4"/>
        <v>NECServiceRegraDroolsAMédioComplexo</v>
      </c>
      <c r="B310" s="229" t="s">
        <v>199</v>
      </c>
      <c r="C310" s="229" t="s">
        <v>218</v>
      </c>
      <c r="D310" s="229" t="s">
        <v>25</v>
      </c>
      <c r="E310" s="229" t="s">
        <v>75</v>
      </c>
      <c r="F310" s="229" t="s">
        <v>76</v>
      </c>
      <c r="G310">
        <v>8</v>
      </c>
    </row>
    <row r="311" spans="1:7" hidden="1" x14ac:dyDescent="0.2">
      <c r="A311" t="str">
        <f t="shared" si="4"/>
        <v>NECServiceRegraDroolsAComplexoSimples</v>
      </c>
      <c r="B311" s="229" t="s">
        <v>199</v>
      </c>
      <c r="C311" s="229" t="s">
        <v>218</v>
      </c>
      <c r="D311" s="229" t="s">
        <v>25</v>
      </c>
      <c r="E311" s="229" t="s">
        <v>76</v>
      </c>
      <c r="F311" s="229" t="s">
        <v>26</v>
      </c>
      <c r="G311">
        <v>6</v>
      </c>
    </row>
    <row r="312" spans="1:7" hidden="1" x14ac:dyDescent="0.2">
      <c r="A312" t="str">
        <f t="shared" si="4"/>
        <v>NECServiceRegraDroolsAComplexoMédio</v>
      </c>
      <c r="B312" s="229" t="s">
        <v>199</v>
      </c>
      <c r="C312" s="229" t="s">
        <v>218</v>
      </c>
      <c r="D312" s="229" t="s">
        <v>25</v>
      </c>
      <c r="E312" s="229" t="s">
        <v>76</v>
      </c>
      <c r="F312" s="229" t="s">
        <v>75</v>
      </c>
      <c r="G312">
        <v>8</v>
      </c>
    </row>
    <row r="313" spans="1:7" hidden="1" x14ac:dyDescent="0.2">
      <c r="A313" t="str">
        <f t="shared" si="4"/>
        <v>NECServiceRegraDroolsAComplexoComplexo</v>
      </c>
      <c r="B313" s="229" t="s">
        <v>199</v>
      </c>
      <c r="C313" s="229" t="s">
        <v>218</v>
      </c>
      <c r="D313" s="229" t="s">
        <v>25</v>
      </c>
      <c r="E313" s="229" t="s">
        <v>76</v>
      </c>
      <c r="F313" s="229" t="s">
        <v>76</v>
      </c>
      <c r="G313">
        <v>12</v>
      </c>
    </row>
    <row r="314" spans="1:7" hidden="1" x14ac:dyDescent="0.2">
      <c r="A314" t="str">
        <f t="shared" si="4"/>
        <v>NECServiceJUnitNSimples</v>
      </c>
      <c r="B314" s="229" t="s">
        <v>199</v>
      </c>
      <c r="C314" s="229" t="s">
        <v>219</v>
      </c>
      <c r="D314" s="229" t="s">
        <v>24</v>
      </c>
      <c r="E314" s="229" t="s">
        <v>26</v>
      </c>
      <c r="F314" s="229"/>
      <c r="G314">
        <v>3</v>
      </c>
    </row>
    <row r="315" spans="1:7" hidden="1" x14ac:dyDescent="0.2">
      <c r="A315" t="str">
        <f t="shared" si="4"/>
        <v>NECServiceJUnitNMédio</v>
      </c>
      <c r="B315" s="229" t="s">
        <v>199</v>
      </c>
      <c r="C315" s="229" t="s">
        <v>219</v>
      </c>
      <c r="D315" s="229" t="s">
        <v>24</v>
      </c>
      <c r="E315" s="229" t="s">
        <v>75</v>
      </c>
      <c r="F315" s="229"/>
      <c r="G315">
        <v>5</v>
      </c>
    </row>
    <row r="316" spans="1:7" hidden="1" x14ac:dyDescent="0.2">
      <c r="A316" t="str">
        <f t="shared" si="4"/>
        <v>NECServiceJUnitNComplexo</v>
      </c>
      <c r="B316" s="229" t="s">
        <v>199</v>
      </c>
      <c r="C316" s="229" t="s">
        <v>219</v>
      </c>
      <c r="D316" s="229" t="s">
        <v>24</v>
      </c>
      <c r="E316" s="229" t="s">
        <v>76</v>
      </c>
      <c r="F316" s="229"/>
      <c r="G316">
        <v>9</v>
      </c>
    </row>
    <row r="317" spans="1:7" hidden="1" x14ac:dyDescent="0.2">
      <c r="A317" t="str">
        <f t="shared" si="4"/>
        <v>NECServiceJUnitASimplesSimples</v>
      </c>
      <c r="B317" s="229" t="s">
        <v>199</v>
      </c>
      <c r="C317" s="229" t="s">
        <v>219</v>
      </c>
      <c r="D317" s="229" t="s">
        <v>25</v>
      </c>
      <c r="E317" s="229" t="s">
        <v>26</v>
      </c>
      <c r="F317" s="229" t="s">
        <v>26</v>
      </c>
      <c r="G317">
        <v>2</v>
      </c>
    </row>
    <row r="318" spans="1:7" hidden="1" x14ac:dyDescent="0.2">
      <c r="A318" t="str">
        <f t="shared" si="4"/>
        <v>NECServiceJUnitASimplesMédio</v>
      </c>
      <c r="B318" s="229" t="s">
        <v>199</v>
      </c>
      <c r="C318" s="229" t="s">
        <v>219</v>
      </c>
      <c r="D318" s="229" t="s">
        <v>25</v>
      </c>
      <c r="E318" s="229" t="s">
        <v>26</v>
      </c>
      <c r="F318" s="229" t="s">
        <v>75</v>
      </c>
      <c r="G318">
        <v>4</v>
      </c>
    </row>
    <row r="319" spans="1:7" hidden="1" x14ac:dyDescent="0.2">
      <c r="A319" t="str">
        <f t="shared" si="4"/>
        <v>NECServiceJUnitASimplesComplexo</v>
      </c>
      <c r="B319" s="229" t="s">
        <v>199</v>
      </c>
      <c r="C319" s="229" t="s">
        <v>219</v>
      </c>
      <c r="D319" s="229" t="s">
        <v>25</v>
      </c>
      <c r="E319" s="229" t="s">
        <v>26</v>
      </c>
      <c r="F319" s="229" t="s">
        <v>76</v>
      </c>
      <c r="G319">
        <v>5</v>
      </c>
    </row>
    <row r="320" spans="1:7" hidden="1" x14ac:dyDescent="0.2">
      <c r="A320" t="str">
        <f t="shared" si="4"/>
        <v>NECServiceJUnitAMédioSimples</v>
      </c>
      <c r="B320" s="229" t="s">
        <v>199</v>
      </c>
      <c r="C320" s="229" t="s">
        <v>219</v>
      </c>
      <c r="D320" s="229" t="s">
        <v>25</v>
      </c>
      <c r="E320" s="229" t="s">
        <v>75</v>
      </c>
      <c r="F320" s="229" t="s">
        <v>26</v>
      </c>
      <c r="G320">
        <v>3</v>
      </c>
    </row>
    <row r="321" spans="1:7" hidden="1" x14ac:dyDescent="0.2">
      <c r="A321" t="str">
        <f t="shared" si="4"/>
        <v>NECServiceJUnitAMédioMédio</v>
      </c>
      <c r="B321" s="229" t="s">
        <v>199</v>
      </c>
      <c r="C321" s="229" t="s">
        <v>219</v>
      </c>
      <c r="D321" s="229" t="s">
        <v>25</v>
      </c>
      <c r="E321" s="229" t="s">
        <v>75</v>
      </c>
      <c r="F321" s="229" t="s">
        <v>75</v>
      </c>
      <c r="G321">
        <v>5</v>
      </c>
    </row>
    <row r="322" spans="1:7" hidden="1" x14ac:dyDescent="0.2">
      <c r="A322" t="str">
        <f t="shared" si="4"/>
        <v>NECServiceJUnitAMédioComplexo</v>
      </c>
      <c r="B322" s="229" t="s">
        <v>199</v>
      </c>
      <c r="C322" s="229" t="s">
        <v>219</v>
      </c>
      <c r="D322" s="229" t="s">
        <v>25</v>
      </c>
      <c r="E322" s="229" t="s">
        <v>75</v>
      </c>
      <c r="F322" s="229" t="s">
        <v>76</v>
      </c>
      <c r="G322">
        <v>7</v>
      </c>
    </row>
    <row r="323" spans="1:7" hidden="1" x14ac:dyDescent="0.2">
      <c r="A323" t="str">
        <f t="shared" ref="A323:A386" si="5">B323&amp;C323&amp;D323&amp;E323&amp;F323</f>
        <v>NECServiceJUnitAComplexoSimples</v>
      </c>
      <c r="B323" s="229" t="s">
        <v>199</v>
      </c>
      <c r="C323" s="229" t="s">
        <v>219</v>
      </c>
      <c r="D323" s="229" t="s">
        <v>25</v>
      </c>
      <c r="E323" s="229" t="s">
        <v>76</v>
      </c>
      <c r="F323" s="229" t="s">
        <v>26</v>
      </c>
      <c r="G323">
        <v>4</v>
      </c>
    </row>
    <row r="324" spans="1:7" hidden="1" x14ac:dyDescent="0.2">
      <c r="A324" t="str">
        <f t="shared" si="5"/>
        <v>NECServiceJUnitAComplexoMédio</v>
      </c>
      <c r="B324" s="229" t="s">
        <v>199</v>
      </c>
      <c r="C324" s="229" t="s">
        <v>219</v>
      </c>
      <c r="D324" s="229" t="s">
        <v>25</v>
      </c>
      <c r="E324" s="229" t="s">
        <v>76</v>
      </c>
      <c r="F324" s="229" t="s">
        <v>75</v>
      </c>
      <c r="G324">
        <v>6</v>
      </c>
    </row>
    <row r="325" spans="1:7" hidden="1" x14ac:dyDescent="0.2">
      <c r="A325" t="str">
        <f t="shared" si="5"/>
        <v>NECServiceJUnitAComplexoComplexo</v>
      </c>
      <c r="B325" s="229" t="s">
        <v>199</v>
      </c>
      <c r="C325" s="229" t="s">
        <v>219</v>
      </c>
      <c r="D325" s="229" t="s">
        <v>25</v>
      </c>
      <c r="E325" s="229" t="s">
        <v>76</v>
      </c>
      <c r="F325" s="229" t="s">
        <v>76</v>
      </c>
      <c r="G325">
        <v>8</v>
      </c>
    </row>
    <row r="326" spans="1:7" hidden="1" x14ac:dyDescent="0.2">
      <c r="A326" t="str">
        <f t="shared" si="5"/>
        <v>NECServiceBanco de Dados (DML, DDL)NSimples</v>
      </c>
      <c r="B326" s="229" t="s">
        <v>199</v>
      </c>
      <c r="C326" s="229" t="s">
        <v>220</v>
      </c>
      <c r="D326" s="229" t="s">
        <v>24</v>
      </c>
      <c r="E326" s="229" t="s">
        <v>26</v>
      </c>
      <c r="F326" s="229"/>
      <c r="G326">
        <v>1</v>
      </c>
    </row>
    <row r="327" spans="1:7" hidden="1" x14ac:dyDescent="0.2">
      <c r="A327" t="str">
        <f t="shared" si="5"/>
        <v>NECServiceBanco de Dados (DML, DDL)NMédio</v>
      </c>
      <c r="B327" s="229" t="s">
        <v>199</v>
      </c>
      <c r="C327" s="229" t="s">
        <v>220</v>
      </c>
      <c r="D327" s="229" t="s">
        <v>24</v>
      </c>
      <c r="E327" s="229" t="s">
        <v>75</v>
      </c>
      <c r="F327" s="229"/>
      <c r="G327">
        <v>3</v>
      </c>
    </row>
    <row r="328" spans="1:7" hidden="1" x14ac:dyDescent="0.2">
      <c r="A328" t="str">
        <f t="shared" si="5"/>
        <v>NECServiceBanco de Dados (DML, DDL)NComplexo</v>
      </c>
      <c r="B328" s="229" t="s">
        <v>199</v>
      </c>
      <c r="C328" s="229" t="s">
        <v>220</v>
      </c>
      <c r="D328" s="229" t="s">
        <v>24</v>
      </c>
      <c r="E328" s="229" t="s">
        <v>76</v>
      </c>
      <c r="F328" s="229"/>
      <c r="G328">
        <v>5</v>
      </c>
    </row>
    <row r="329" spans="1:7" hidden="1" x14ac:dyDescent="0.2">
      <c r="A329" t="str">
        <f t="shared" si="5"/>
        <v>NECServiceBanco de Dados (DML, DDL)ASimplesSimples</v>
      </c>
      <c r="B329" s="229" t="s">
        <v>199</v>
      </c>
      <c r="C329" s="229" t="s">
        <v>220</v>
      </c>
      <c r="D329" s="229" t="s">
        <v>25</v>
      </c>
      <c r="E329" s="229" t="s">
        <v>26</v>
      </c>
      <c r="F329" s="229" t="s">
        <v>26</v>
      </c>
      <c r="G329">
        <v>1</v>
      </c>
    </row>
    <row r="330" spans="1:7" hidden="1" x14ac:dyDescent="0.2">
      <c r="A330" t="str">
        <f t="shared" si="5"/>
        <v>NECServiceBanco de Dados (DML, DDL)ASimplesMédio</v>
      </c>
      <c r="B330" s="229" t="s">
        <v>199</v>
      </c>
      <c r="C330" s="229" t="s">
        <v>220</v>
      </c>
      <c r="D330" s="229" t="s">
        <v>25</v>
      </c>
      <c r="E330" s="229" t="s">
        <v>26</v>
      </c>
      <c r="F330" s="229" t="s">
        <v>75</v>
      </c>
      <c r="G330">
        <v>3</v>
      </c>
    </row>
    <row r="331" spans="1:7" hidden="1" x14ac:dyDescent="0.2">
      <c r="A331" t="str">
        <f t="shared" si="5"/>
        <v>NECServiceBanco de Dados (DML, DDL)ASimplesComplexo</v>
      </c>
      <c r="B331" s="229" t="s">
        <v>199</v>
      </c>
      <c r="C331" s="229" t="s">
        <v>220</v>
      </c>
      <c r="D331" s="229" t="s">
        <v>25</v>
      </c>
      <c r="E331" s="229" t="s">
        <v>26</v>
      </c>
      <c r="F331" s="229" t="s">
        <v>76</v>
      </c>
      <c r="G331">
        <v>5</v>
      </c>
    </row>
    <row r="332" spans="1:7" hidden="1" x14ac:dyDescent="0.2">
      <c r="A332" t="str">
        <f t="shared" si="5"/>
        <v>NECServiceBanco de Dados (DML, DDL)AMédioSimples</v>
      </c>
      <c r="B332" s="229" t="s">
        <v>199</v>
      </c>
      <c r="C332" s="229" t="s">
        <v>220</v>
      </c>
      <c r="D332" s="229" t="s">
        <v>25</v>
      </c>
      <c r="E332" s="229" t="s">
        <v>75</v>
      </c>
      <c r="F332" s="229" t="s">
        <v>26</v>
      </c>
      <c r="G332">
        <v>3</v>
      </c>
    </row>
    <row r="333" spans="1:7" hidden="1" x14ac:dyDescent="0.2">
      <c r="A333" t="str">
        <f t="shared" si="5"/>
        <v>NECServiceBanco de Dados (DML, DDL)AMédioMédio</v>
      </c>
      <c r="B333" s="229" t="s">
        <v>199</v>
      </c>
      <c r="C333" s="229" t="s">
        <v>220</v>
      </c>
      <c r="D333" s="229" t="s">
        <v>25</v>
      </c>
      <c r="E333" s="229" t="s">
        <v>75</v>
      </c>
      <c r="F333" s="229" t="s">
        <v>75</v>
      </c>
      <c r="G333">
        <v>6</v>
      </c>
    </row>
    <row r="334" spans="1:7" hidden="1" x14ac:dyDescent="0.2">
      <c r="A334" t="str">
        <f t="shared" si="5"/>
        <v>NECServiceBanco de Dados (DML, DDL)AMédioComplexo</v>
      </c>
      <c r="B334" s="229" t="s">
        <v>199</v>
      </c>
      <c r="C334" s="229" t="s">
        <v>220</v>
      </c>
      <c r="D334" s="229" t="s">
        <v>25</v>
      </c>
      <c r="E334" s="229" t="s">
        <v>75</v>
      </c>
      <c r="F334" s="229" t="s">
        <v>76</v>
      </c>
      <c r="G334">
        <v>8</v>
      </c>
    </row>
    <row r="335" spans="1:7" hidden="1" x14ac:dyDescent="0.2">
      <c r="A335" t="str">
        <f t="shared" si="5"/>
        <v>NECServiceBanco de Dados (DML, DDL)AComplexoSimples</v>
      </c>
      <c r="B335" s="229" t="s">
        <v>199</v>
      </c>
      <c r="C335" s="229" t="s">
        <v>220</v>
      </c>
      <c r="D335" s="229" t="s">
        <v>25</v>
      </c>
      <c r="E335" s="229" t="s">
        <v>76</v>
      </c>
      <c r="F335" s="229" t="s">
        <v>26</v>
      </c>
      <c r="G335">
        <v>5</v>
      </c>
    </row>
    <row r="336" spans="1:7" hidden="1" x14ac:dyDescent="0.2">
      <c r="A336" t="str">
        <f t="shared" si="5"/>
        <v>NECServiceBanco de Dados (DML, DDL)AComplexoMédio</v>
      </c>
      <c r="B336" s="229" t="s">
        <v>199</v>
      </c>
      <c r="C336" s="229" t="s">
        <v>220</v>
      </c>
      <c r="D336" s="229" t="s">
        <v>25</v>
      </c>
      <c r="E336" s="229" t="s">
        <v>76</v>
      </c>
      <c r="F336" s="229" t="s">
        <v>75</v>
      </c>
      <c r="G336">
        <v>8</v>
      </c>
    </row>
    <row r="337" spans="1:7" hidden="1" x14ac:dyDescent="0.2">
      <c r="A337" t="str">
        <f t="shared" si="5"/>
        <v>NECServiceBanco de Dados (DML, DDL)AComplexoComplexo</v>
      </c>
      <c r="B337" s="229" t="s">
        <v>199</v>
      </c>
      <c r="C337" s="229" t="s">
        <v>220</v>
      </c>
      <c r="D337" s="229" t="s">
        <v>25</v>
      </c>
      <c r="E337" s="229" t="s">
        <v>76</v>
      </c>
      <c r="F337" s="229" t="s">
        <v>76</v>
      </c>
      <c r="G337">
        <v>10</v>
      </c>
    </row>
    <row r="338" spans="1:7" hidden="1" x14ac:dyDescent="0.2">
      <c r="A338" t="str">
        <f t="shared" si="5"/>
        <v>NECServiceBanco de Dados (PL/SQL)NSimples</v>
      </c>
      <c r="B338" s="229" t="s">
        <v>199</v>
      </c>
      <c r="C338" s="229" t="s">
        <v>203</v>
      </c>
      <c r="D338" s="229" t="s">
        <v>24</v>
      </c>
      <c r="E338" s="229" t="s">
        <v>26</v>
      </c>
      <c r="F338" s="229"/>
      <c r="G338">
        <v>4</v>
      </c>
    </row>
    <row r="339" spans="1:7" hidden="1" x14ac:dyDescent="0.2">
      <c r="A339" t="str">
        <f t="shared" si="5"/>
        <v>NECServiceBanco de Dados (PL/SQL)NMédio</v>
      </c>
      <c r="B339" s="229" t="s">
        <v>199</v>
      </c>
      <c r="C339" s="229" t="s">
        <v>203</v>
      </c>
      <c r="D339" s="229" t="s">
        <v>24</v>
      </c>
      <c r="E339" s="229" t="s">
        <v>75</v>
      </c>
      <c r="F339" s="229"/>
      <c r="G339">
        <v>8</v>
      </c>
    </row>
    <row r="340" spans="1:7" hidden="1" x14ac:dyDescent="0.2">
      <c r="A340" t="str">
        <f t="shared" si="5"/>
        <v>NECServiceBanco de Dados (PL/SQL)NComplexo</v>
      </c>
      <c r="B340" s="229" t="s">
        <v>199</v>
      </c>
      <c r="C340" s="229" t="s">
        <v>203</v>
      </c>
      <c r="D340" s="229" t="s">
        <v>24</v>
      </c>
      <c r="E340" s="229" t="s">
        <v>76</v>
      </c>
      <c r="F340" s="229"/>
      <c r="G340">
        <v>12</v>
      </c>
    </row>
    <row r="341" spans="1:7" hidden="1" x14ac:dyDescent="0.2">
      <c r="A341" t="str">
        <f t="shared" si="5"/>
        <v>NECServiceBanco de Dados (PL/SQL)ASimplesSimples</v>
      </c>
      <c r="B341" s="229" t="s">
        <v>199</v>
      </c>
      <c r="C341" s="229" t="s">
        <v>203</v>
      </c>
      <c r="D341" s="229" t="s">
        <v>25</v>
      </c>
      <c r="E341" s="229" t="s">
        <v>26</v>
      </c>
      <c r="F341" s="229" t="s">
        <v>26</v>
      </c>
      <c r="G341">
        <v>2</v>
      </c>
    </row>
    <row r="342" spans="1:7" hidden="1" x14ac:dyDescent="0.2">
      <c r="A342" t="str">
        <f t="shared" si="5"/>
        <v>NECServiceBanco de Dados (PL/SQL)ASimplesMédio</v>
      </c>
      <c r="B342" s="229" t="s">
        <v>199</v>
      </c>
      <c r="C342" s="229" t="s">
        <v>203</v>
      </c>
      <c r="D342" s="229" t="s">
        <v>25</v>
      </c>
      <c r="E342" s="229" t="s">
        <v>26</v>
      </c>
      <c r="F342" s="229" t="s">
        <v>75</v>
      </c>
      <c r="G342">
        <v>4</v>
      </c>
    </row>
    <row r="343" spans="1:7" hidden="1" x14ac:dyDescent="0.2">
      <c r="A343" t="str">
        <f t="shared" si="5"/>
        <v>NECServiceBanco de Dados (PL/SQL)ASimplesComplexo</v>
      </c>
      <c r="B343" s="229" t="s">
        <v>199</v>
      </c>
      <c r="C343" s="229" t="s">
        <v>203</v>
      </c>
      <c r="D343" s="229" t="s">
        <v>25</v>
      </c>
      <c r="E343" s="229" t="s">
        <v>26</v>
      </c>
      <c r="F343" s="229" t="s">
        <v>76</v>
      </c>
      <c r="G343">
        <v>6</v>
      </c>
    </row>
    <row r="344" spans="1:7" hidden="1" x14ac:dyDescent="0.2">
      <c r="A344" t="str">
        <f t="shared" si="5"/>
        <v>NECServiceBanco de Dados (PL/SQL)AMédioSimples</v>
      </c>
      <c r="B344" s="229" t="s">
        <v>199</v>
      </c>
      <c r="C344" s="229" t="s">
        <v>203</v>
      </c>
      <c r="D344" s="229" t="s">
        <v>25</v>
      </c>
      <c r="E344" s="229" t="s">
        <v>75</v>
      </c>
      <c r="F344" s="229" t="s">
        <v>26</v>
      </c>
      <c r="G344">
        <v>4</v>
      </c>
    </row>
    <row r="345" spans="1:7" hidden="1" x14ac:dyDescent="0.2">
      <c r="A345" t="str">
        <f t="shared" si="5"/>
        <v>NECServiceBanco de Dados (PL/SQL)AMédioMédio</v>
      </c>
      <c r="B345" s="229" t="s">
        <v>199</v>
      </c>
      <c r="C345" s="229" t="s">
        <v>203</v>
      </c>
      <c r="D345" s="229" t="s">
        <v>25</v>
      </c>
      <c r="E345" s="229" t="s">
        <v>75</v>
      </c>
      <c r="F345" s="229" t="s">
        <v>75</v>
      </c>
      <c r="G345">
        <v>6</v>
      </c>
    </row>
    <row r="346" spans="1:7" hidden="1" x14ac:dyDescent="0.2">
      <c r="A346" t="str">
        <f t="shared" si="5"/>
        <v>NECServiceBanco de Dados (PL/SQL)AMédioComplexo</v>
      </c>
      <c r="B346" s="229" t="s">
        <v>199</v>
      </c>
      <c r="C346" s="229" t="s">
        <v>203</v>
      </c>
      <c r="D346" s="229" t="s">
        <v>25</v>
      </c>
      <c r="E346" s="229" t="s">
        <v>75</v>
      </c>
      <c r="F346" s="229" t="s">
        <v>76</v>
      </c>
      <c r="G346">
        <v>9</v>
      </c>
    </row>
    <row r="347" spans="1:7" hidden="1" x14ac:dyDescent="0.2">
      <c r="A347" t="str">
        <f t="shared" si="5"/>
        <v>NECServiceBanco de Dados (PL/SQL)AComplexoSimples</v>
      </c>
      <c r="B347" s="229" t="s">
        <v>199</v>
      </c>
      <c r="C347" s="229" t="s">
        <v>203</v>
      </c>
      <c r="D347" s="229" t="s">
        <v>25</v>
      </c>
      <c r="E347" s="229" t="s">
        <v>76</v>
      </c>
      <c r="F347" s="229" t="s">
        <v>26</v>
      </c>
      <c r="G347">
        <v>7</v>
      </c>
    </row>
    <row r="348" spans="1:7" hidden="1" x14ac:dyDescent="0.2">
      <c r="A348" t="str">
        <f t="shared" si="5"/>
        <v>NECServiceBanco de Dados (PL/SQL)AComplexoMédio</v>
      </c>
      <c r="B348" s="229" t="s">
        <v>199</v>
      </c>
      <c r="C348" s="229" t="s">
        <v>203</v>
      </c>
      <c r="D348" s="229" t="s">
        <v>25</v>
      </c>
      <c r="E348" s="229" t="s">
        <v>76</v>
      </c>
      <c r="F348" s="229" t="s">
        <v>75</v>
      </c>
      <c r="G348">
        <v>9</v>
      </c>
    </row>
    <row r="349" spans="1:7" hidden="1" x14ac:dyDescent="0.2">
      <c r="A349" t="str">
        <f t="shared" si="5"/>
        <v>NECServiceBanco de Dados (PL/SQL)AComplexoComplexo</v>
      </c>
      <c r="B349" s="229" t="s">
        <v>199</v>
      </c>
      <c r="C349" s="229" t="s">
        <v>203</v>
      </c>
      <c r="D349" s="229" t="s">
        <v>25</v>
      </c>
      <c r="E349" s="229" t="s">
        <v>76</v>
      </c>
      <c r="F349" s="229" t="s">
        <v>76</v>
      </c>
      <c r="G349">
        <v>12</v>
      </c>
    </row>
    <row r="350" spans="1:7" hidden="1" x14ac:dyDescent="0.2">
      <c r="A350" t="str">
        <f t="shared" si="5"/>
        <v>NECServiceJAVA: Interface WebServiceNSimples</v>
      </c>
      <c r="B350" s="229" t="s">
        <v>199</v>
      </c>
      <c r="C350" s="229" t="s">
        <v>204</v>
      </c>
      <c r="D350" s="229" t="s">
        <v>24</v>
      </c>
      <c r="E350" s="229" t="s">
        <v>26</v>
      </c>
      <c r="F350" s="229"/>
      <c r="G350">
        <v>3</v>
      </c>
    </row>
    <row r="351" spans="1:7" hidden="1" x14ac:dyDescent="0.2">
      <c r="A351" t="str">
        <f t="shared" si="5"/>
        <v>NECServiceJAVA: Interface WebServiceNMédio</v>
      </c>
      <c r="B351" s="229" t="s">
        <v>199</v>
      </c>
      <c r="C351" s="229" t="s">
        <v>204</v>
      </c>
      <c r="D351" s="229" t="s">
        <v>24</v>
      </c>
      <c r="E351" s="229" t="s">
        <v>75</v>
      </c>
      <c r="F351" s="229"/>
      <c r="G351">
        <v>5</v>
      </c>
    </row>
    <row r="352" spans="1:7" hidden="1" x14ac:dyDescent="0.2">
      <c r="A352" t="str">
        <f t="shared" si="5"/>
        <v>NECServiceJAVA: Interface WebServiceNComplexo</v>
      </c>
      <c r="B352" s="229" t="s">
        <v>199</v>
      </c>
      <c r="C352" s="229" t="s">
        <v>204</v>
      </c>
      <c r="D352" s="229" t="s">
        <v>24</v>
      </c>
      <c r="E352" s="229" t="s">
        <v>76</v>
      </c>
      <c r="F352" s="229"/>
      <c r="G352">
        <v>8</v>
      </c>
    </row>
    <row r="353" spans="1:7" hidden="1" x14ac:dyDescent="0.2">
      <c r="A353" t="str">
        <f t="shared" si="5"/>
        <v>NECServiceJAVA: Interface WebServiceASimplesSimples</v>
      </c>
      <c r="B353" s="229" t="s">
        <v>199</v>
      </c>
      <c r="C353" s="229" t="s">
        <v>204</v>
      </c>
      <c r="D353" s="229" t="s">
        <v>25</v>
      </c>
      <c r="E353" s="229" t="s">
        <v>26</v>
      </c>
      <c r="F353" s="229" t="s">
        <v>26</v>
      </c>
      <c r="G353">
        <v>2</v>
      </c>
    </row>
    <row r="354" spans="1:7" hidden="1" x14ac:dyDescent="0.2">
      <c r="A354" t="str">
        <f t="shared" si="5"/>
        <v>NECServiceJAVA: Interface WebServiceASimplesMédio</v>
      </c>
      <c r="B354" s="229" t="s">
        <v>199</v>
      </c>
      <c r="C354" s="229" t="s">
        <v>204</v>
      </c>
      <c r="D354" s="229" t="s">
        <v>25</v>
      </c>
      <c r="E354" s="229" t="s">
        <v>26</v>
      </c>
      <c r="F354" s="229" t="s">
        <v>75</v>
      </c>
      <c r="G354">
        <v>3</v>
      </c>
    </row>
    <row r="355" spans="1:7" hidden="1" x14ac:dyDescent="0.2">
      <c r="A355" t="str">
        <f t="shared" si="5"/>
        <v>NECServiceJAVA: Interface WebServiceASimplesComplexo</v>
      </c>
      <c r="B355" s="229" t="s">
        <v>199</v>
      </c>
      <c r="C355" s="229" t="s">
        <v>204</v>
      </c>
      <c r="D355" s="229" t="s">
        <v>25</v>
      </c>
      <c r="E355" s="229" t="s">
        <v>26</v>
      </c>
      <c r="F355" s="229" t="s">
        <v>76</v>
      </c>
      <c r="G355">
        <v>4</v>
      </c>
    </row>
    <row r="356" spans="1:7" hidden="1" x14ac:dyDescent="0.2">
      <c r="A356" t="str">
        <f t="shared" si="5"/>
        <v>NECServiceJAVA: Interface WebServiceAMédioSimples</v>
      </c>
      <c r="B356" s="229" t="s">
        <v>199</v>
      </c>
      <c r="C356" s="229" t="s">
        <v>204</v>
      </c>
      <c r="D356" s="229" t="s">
        <v>25</v>
      </c>
      <c r="E356" s="229" t="s">
        <v>75</v>
      </c>
      <c r="F356" s="229" t="s">
        <v>26</v>
      </c>
      <c r="G356">
        <v>2</v>
      </c>
    </row>
    <row r="357" spans="1:7" hidden="1" x14ac:dyDescent="0.2">
      <c r="A357" t="str">
        <f t="shared" si="5"/>
        <v>NECServiceJAVA: Interface WebServiceAMédioMédio</v>
      </c>
      <c r="B357" s="229" t="s">
        <v>199</v>
      </c>
      <c r="C357" s="229" t="s">
        <v>204</v>
      </c>
      <c r="D357" s="229" t="s">
        <v>25</v>
      </c>
      <c r="E357" s="229" t="s">
        <v>75</v>
      </c>
      <c r="F357" s="229" t="s">
        <v>75</v>
      </c>
      <c r="G357">
        <v>5</v>
      </c>
    </row>
    <row r="358" spans="1:7" hidden="1" x14ac:dyDescent="0.2">
      <c r="A358" t="str">
        <f t="shared" si="5"/>
        <v>NECServiceJAVA: Interface WebServiceAMédioComplexo</v>
      </c>
      <c r="B358" s="229" t="s">
        <v>199</v>
      </c>
      <c r="C358" s="229" t="s">
        <v>204</v>
      </c>
      <c r="D358" s="229" t="s">
        <v>25</v>
      </c>
      <c r="E358" s="229" t="s">
        <v>75</v>
      </c>
      <c r="F358" s="229" t="s">
        <v>76</v>
      </c>
      <c r="G358">
        <v>8</v>
      </c>
    </row>
    <row r="359" spans="1:7" hidden="1" x14ac:dyDescent="0.2">
      <c r="A359" t="str">
        <f t="shared" si="5"/>
        <v>NECServiceJAVA: Interface WebServiceAComplexoSimples</v>
      </c>
      <c r="B359" s="229" t="s">
        <v>199</v>
      </c>
      <c r="C359" s="229" t="s">
        <v>204</v>
      </c>
      <c r="D359" s="229" t="s">
        <v>25</v>
      </c>
      <c r="E359" s="229" t="s">
        <v>76</v>
      </c>
      <c r="F359" s="229" t="s">
        <v>26</v>
      </c>
      <c r="G359">
        <v>5</v>
      </c>
    </row>
    <row r="360" spans="1:7" hidden="1" x14ac:dyDescent="0.2">
      <c r="A360" t="str">
        <f t="shared" si="5"/>
        <v>NECServiceJAVA: Interface WebServiceAComplexoMédio</v>
      </c>
      <c r="B360" s="229" t="s">
        <v>199</v>
      </c>
      <c r="C360" s="229" t="s">
        <v>204</v>
      </c>
      <c r="D360" s="229" t="s">
        <v>25</v>
      </c>
      <c r="E360" s="229" t="s">
        <v>76</v>
      </c>
      <c r="F360" s="229" t="s">
        <v>75</v>
      </c>
      <c r="G360">
        <v>7</v>
      </c>
    </row>
    <row r="361" spans="1:7" hidden="1" x14ac:dyDescent="0.2">
      <c r="A361" t="str">
        <f t="shared" si="5"/>
        <v>NECServiceJAVA: Interface WebServiceAComplexoComplexo</v>
      </c>
      <c r="B361" s="229" t="s">
        <v>199</v>
      </c>
      <c r="C361" s="229" t="s">
        <v>204</v>
      </c>
      <c r="D361" s="229" t="s">
        <v>25</v>
      </c>
      <c r="E361" s="229" t="s">
        <v>76</v>
      </c>
      <c r="F361" s="229" t="s">
        <v>76</v>
      </c>
      <c r="G361">
        <v>9</v>
      </c>
    </row>
    <row r="362" spans="1:7" hidden="1" x14ac:dyDescent="0.2">
      <c r="A362" t="str">
        <f t="shared" si="5"/>
        <v>NECServiceJAVA: Transformação de ObjetosNSimples</v>
      </c>
      <c r="B362" s="229" t="s">
        <v>199</v>
      </c>
      <c r="C362" s="229" t="s">
        <v>205</v>
      </c>
      <c r="D362" s="229" t="s">
        <v>24</v>
      </c>
      <c r="E362" s="229" t="s">
        <v>26</v>
      </c>
      <c r="F362" s="229"/>
      <c r="G362">
        <v>1</v>
      </c>
    </row>
    <row r="363" spans="1:7" hidden="1" x14ac:dyDescent="0.2">
      <c r="A363" t="str">
        <f t="shared" si="5"/>
        <v>NECServiceJAVA: Transformação de ObjetosNMédio</v>
      </c>
      <c r="B363" s="229" t="s">
        <v>199</v>
      </c>
      <c r="C363" s="229" t="s">
        <v>205</v>
      </c>
      <c r="D363" s="229" t="s">
        <v>24</v>
      </c>
      <c r="E363" s="229" t="s">
        <v>75</v>
      </c>
      <c r="F363" s="229"/>
      <c r="G363">
        <v>3</v>
      </c>
    </row>
    <row r="364" spans="1:7" hidden="1" x14ac:dyDescent="0.2">
      <c r="A364" t="str">
        <f t="shared" si="5"/>
        <v>NECServiceJAVA: Transformação de ObjetosNComplexo</v>
      </c>
      <c r="B364" s="229" t="s">
        <v>199</v>
      </c>
      <c r="C364" s="229" t="s">
        <v>205</v>
      </c>
      <c r="D364" s="229" t="s">
        <v>24</v>
      </c>
      <c r="E364" s="229" t="s">
        <v>76</v>
      </c>
      <c r="F364" s="229"/>
      <c r="G364">
        <v>5</v>
      </c>
    </row>
    <row r="365" spans="1:7" hidden="1" x14ac:dyDescent="0.2">
      <c r="A365" t="str">
        <f t="shared" si="5"/>
        <v>NECServiceJAVA: Transformação de ObjetosASimplesSimples</v>
      </c>
      <c r="B365" s="229" t="s">
        <v>199</v>
      </c>
      <c r="C365" s="229" t="s">
        <v>205</v>
      </c>
      <c r="D365" s="229" t="s">
        <v>25</v>
      </c>
      <c r="E365" s="229" t="s">
        <v>26</v>
      </c>
      <c r="F365" s="229" t="s">
        <v>26</v>
      </c>
      <c r="G365">
        <v>1</v>
      </c>
    </row>
    <row r="366" spans="1:7" hidden="1" x14ac:dyDescent="0.2">
      <c r="A366" t="str">
        <f t="shared" si="5"/>
        <v>NECServiceJAVA: Transformação de ObjetosASimplesMédio</v>
      </c>
      <c r="B366" s="229" t="s">
        <v>199</v>
      </c>
      <c r="C366" s="229" t="s">
        <v>205</v>
      </c>
      <c r="D366" s="229" t="s">
        <v>25</v>
      </c>
      <c r="E366" s="229" t="s">
        <v>26</v>
      </c>
      <c r="F366" s="229" t="s">
        <v>75</v>
      </c>
      <c r="G366">
        <v>2</v>
      </c>
    </row>
    <row r="367" spans="1:7" hidden="1" x14ac:dyDescent="0.2">
      <c r="A367" t="str">
        <f t="shared" si="5"/>
        <v>NECServiceJAVA: Transformação de ObjetosASimplesComplexo</v>
      </c>
      <c r="B367" s="229" t="s">
        <v>199</v>
      </c>
      <c r="C367" s="229" t="s">
        <v>205</v>
      </c>
      <c r="D367" s="229" t="s">
        <v>25</v>
      </c>
      <c r="E367" s="229" t="s">
        <v>26</v>
      </c>
      <c r="F367" s="229" t="s">
        <v>76</v>
      </c>
      <c r="G367">
        <v>4</v>
      </c>
    </row>
    <row r="368" spans="1:7" hidden="1" x14ac:dyDescent="0.2">
      <c r="A368" t="str">
        <f t="shared" si="5"/>
        <v>NECServiceJAVA: Transformação de ObjetosAMédioSimples</v>
      </c>
      <c r="B368" s="229" t="s">
        <v>199</v>
      </c>
      <c r="C368" s="229" t="s">
        <v>205</v>
      </c>
      <c r="D368" s="229" t="s">
        <v>25</v>
      </c>
      <c r="E368" s="229" t="s">
        <v>75</v>
      </c>
      <c r="F368" s="229" t="s">
        <v>26</v>
      </c>
      <c r="G368">
        <v>3</v>
      </c>
    </row>
    <row r="369" spans="1:7" hidden="1" x14ac:dyDescent="0.2">
      <c r="A369" t="str">
        <f t="shared" si="5"/>
        <v>NECServiceJAVA: Transformação de ObjetosAMédioMédio</v>
      </c>
      <c r="B369" s="229" t="s">
        <v>199</v>
      </c>
      <c r="C369" s="229" t="s">
        <v>205</v>
      </c>
      <c r="D369" s="229" t="s">
        <v>25</v>
      </c>
      <c r="E369" s="229" t="s">
        <v>75</v>
      </c>
      <c r="F369" s="229" t="s">
        <v>75</v>
      </c>
      <c r="G369">
        <v>5</v>
      </c>
    </row>
    <row r="370" spans="1:7" hidden="1" x14ac:dyDescent="0.2">
      <c r="A370" t="str">
        <f t="shared" si="5"/>
        <v>NECServiceJAVA: Transformação de ObjetosAMédioComplexo</v>
      </c>
      <c r="B370" s="229" t="s">
        <v>199</v>
      </c>
      <c r="C370" s="229" t="s">
        <v>205</v>
      </c>
      <c r="D370" s="229" t="s">
        <v>25</v>
      </c>
      <c r="E370" s="229" t="s">
        <v>75</v>
      </c>
      <c r="F370" s="229" t="s">
        <v>76</v>
      </c>
      <c r="G370">
        <v>6</v>
      </c>
    </row>
    <row r="371" spans="1:7" hidden="1" x14ac:dyDescent="0.2">
      <c r="A371" t="str">
        <f t="shared" si="5"/>
        <v>NECServiceJAVA: Transformação de ObjetosAComplexoSimples</v>
      </c>
      <c r="B371" s="229" t="s">
        <v>199</v>
      </c>
      <c r="C371" s="229" t="s">
        <v>205</v>
      </c>
      <c r="D371" s="229" t="s">
        <v>25</v>
      </c>
      <c r="E371" s="229" t="s">
        <v>76</v>
      </c>
      <c r="F371" s="229" t="s">
        <v>26</v>
      </c>
      <c r="G371">
        <v>4</v>
      </c>
    </row>
    <row r="372" spans="1:7" hidden="1" x14ac:dyDescent="0.2">
      <c r="A372" t="str">
        <f t="shared" si="5"/>
        <v>NECServiceJAVA: Transformação de ObjetosAComplexoMédio</v>
      </c>
      <c r="B372" s="229" t="s">
        <v>199</v>
      </c>
      <c r="C372" s="229" t="s">
        <v>205</v>
      </c>
      <c r="D372" s="229" t="s">
        <v>25</v>
      </c>
      <c r="E372" s="229" t="s">
        <v>76</v>
      </c>
      <c r="F372" s="229" t="s">
        <v>75</v>
      </c>
      <c r="G372">
        <v>6</v>
      </c>
    </row>
    <row r="373" spans="1:7" hidden="1" x14ac:dyDescent="0.2">
      <c r="A373" t="str">
        <f t="shared" si="5"/>
        <v>NECServiceJAVA: Transformação de ObjetosAComplexoComplexo</v>
      </c>
      <c r="B373" s="229" t="s">
        <v>199</v>
      </c>
      <c r="C373" s="229" t="s">
        <v>205</v>
      </c>
      <c r="D373" s="229" t="s">
        <v>25</v>
      </c>
      <c r="E373" s="229" t="s">
        <v>76</v>
      </c>
      <c r="F373" s="229" t="s">
        <v>76</v>
      </c>
      <c r="G373">
        <v>8</v>
      </c>
    </row>
    <row r="374" spans="1:7" hidden="1" x14ac:dyDescent="0.2">
      <c r="A374" t="str">
        <f t="shared" si="5"/>
        <v>NECServiceJAVA: Métodos de Negócio (Controller)NSimples</v>
      </c>
      <c r="B374" s="229" t="s">
        <v>199</v>
      </c>
      <c r="C374" s="229" t="s">
        <v>206</v>
      </c>
      <c r="D374" s="229" t="s">
        <v>24</v>
      </c>
      <c r="E374" s="229" t="s">
        <v>26</v>
      </c>
      <c r="F374" s="229"/>
      <c r="G374">
        <v>8</v>
      </c>
    </row>
    <row r="375" spans="1:7" hidden="1" x14ac:dyDescent="0.2">
      <c r="A375" t="str">
        <f t="shared" si="5"/>
        <v>NECServiceJAVA: Métodos de Negócio (Controller)NMédio</v>
      </c>
      <c r="B375" s="229" t="s">
        <v>199</v>
      </c>
      <c r="C375" s="229" t="s">
        <v>206</v>
      </c>
      <c r="D375" s="229" t="s">
        <v>24</v>
      </c>
      <c r="E375" s="229" t="s">
        <v>75</v>
      </c>
      <c r="F375" s="229"/>
      <c r="G375">
        <v>16</v>
      </c>
    </row>
    <row r="376" spans="1:7" hidden="1" x14ac:dyDescent="0.2">
      <c r="A376" t="str">
        <f t="shared" si="5"/>
        <v>NECServiceJAVA: Métodos de Negócio (Controller)NComplexo</v>
      </c>
      <c r="B376" s="229" t="s">
        <v>199</v>
      </c>
      <c r="C376" s="229" t="s">
        <v>206</v>
      </c>
      <c r="D376" s="229" t="s">
        <v>24</v>
      </c>
      <c r="E376" s="229" t="s">
        <v>76</v>
      </c>
      <c r="F376" s="229"/>
      <c r="G376">
        <v>24</v>
      </c>
    </row>
    <row r="377" spans="1:7" hidden="1" x14ac:dyDescent="0.2">
      <c r="A377" t="str">
        <f t="shared" si="5"/>
        <v>NECServiceJAVA: Métodos de Negócio (Controller)ASimplesSimples</v>
      </c>
      <c r="B377" s="229" t="s">
        <v>199</v>
      </c>
      <c r="C377" s="229" t="s">
        <v>206</v>
      </c>
      <c r="D377" s="229" t="s">
        <v>25</v>
      </c>
      <c r="E377" s="229" t="s">
        <v>26</v>
      </c>
      <c r="F377" s="229" t="s">
        <v>26</v>
      </c>
      <c r="G377">
        <v>3</v>
      </c>
    </row>
    <row r="378" spans="1:7" hidden="1" x14ac:dyDescent="0.2">
      <c r="A378" t="str">
        <f t="shared" si="5"/>
        <v>NECServiceJAVA: Métodos de Negócio (Controller)ASimplesMédio</v>
      </c>
      <c r="B378" s="229" t="s">
        <v>199</v>
      </c>
      <c r="C378" s="229" t="s">
        <v>206</v>
      </c>
      <c r="D378" s="229" t="s">
        <v>25</v>
      </c>
      <c r="E378" s="229" t="s">
        <v>26</v>
      </c>
      <c r="F378" s="229" t="s">
        <v>75</v>
      </c>
      <c r="G378">
        <v>5</v>
      </c>
    </row>
    <row r="379" spans="1:7" hidden="1" x14ac:dyDescent="0.2">
      <c r="A379" t="str">
        <f t="shared" si="5"/>
        <v>NECServiceJAVA: Métodos de Negócio (Controller)ASimplesComplexo</v>
      </c>
      <c r="B379" s="229" t="s">
        <v>199</v>
      </c>
      <c r="C379" s="229" t="s">
        <v>206</v>
      </c>
      <c r="D379" s="229" t="s">
        <v>25</v>
      </c>
      <c r="E379" s="229" t="s">
        <v>26</v>
      </c>
      <c r="F379" s="229" t="s">
        <v>76</v>
      </c>
      <c r="G379">
        <v>7</v>
      </c>
    </row>
    <row r="380" spans="1:7" hidden="1" x14ac:dyDescent="0.2">
      <c r="A380" t="str">
        <f t="shared" si="5"/>
        <v>NECServiceJAVA: Métodos de Negócio (Controller)AMédioSimples</v>
      </c>
      <c r="B380" s="229" t="s">
        <v>199</v>
      </c>
      <c r="C380" s="229" t="s">
        <v>206</v>
      </c>
      <c r="D380" s="229" t="s">
        <v>25</v>
      </c>
      <c r="E380" s="229" t="s">
        <v>75</v>
      </c>
      <c r="F380" s="229" t="s">
        <v>26</v>
      </c>
      <c r="G380" s="229">
        <v>8</v>
      </c>
    </row>
    <row r="381" spans="1:7" hidden="1" x14ac:dyDescent="0.2">
      <c r="A381" t="str">
        <f t="shared" si="5"/>
        <v>NECServiceJAVA: Métodos de Negócio (Controller)AMédioMédio</v>
      </c>
      <c r="B381" s="229" t="s">
        <v>199</v>
      </c>
      <c r="C381" s="229" t="s">
        <v>206</v>
      </c>
      <c r="D381" s="229" t="s">
        <v>25</v>
      </c>
      <c r="E381" s="229" t="s">
        <v>75</v>
      </c>
      <c r="F381" s="229" t="s">
        <v>75</v>
      </c>
      <c r="G381">
        <v>10</v>
      </c>
    </row>
    <row r="382" spans="1:7" hidden="1" x14ac:dyDescent="0.2">
      <c r="A382" t="str">
        <f t="shared" si="5"/>
        <v>NECServiceJAVA: Métodos de Negócio (Controller)AMédioComplexo</v>
      </c>
      <c r="B382" s="229" t="s">
        <v>199</v>
      </c>
      <c r="C382" s="229" t="s">
        <v>206</v>
      </c>
      <c r="D382" s="229" t="s">
        <v>25</v>
      </c>
      <c r="E382" s="229" t="s">
        <v>75</v>
      </c>
      <c r="F382" s="229" t="s">
        <v>76</v>
      </c>
      <c r="G382">
        <v>14</v>
      </c>
    </row>
    <row r="383" spans="1:7" hidden="1" x14ac:dyDescent="0.2">
      <c r="A383" t="str">
        <f t="shared" si="5"/>
        <v>NECServiceJAVA: Métodos de Negócio (Controller)AComplexoSimples</v>
      </c>
      <c r="B383" s="229" t="s">
        <v>199</v>
      </c>
      <c r="C383" s="229" t="s">
        <v>206</v>
      </c>
      <c r="D383" s="229" t="s">
        <v>25</v>
      </c>
      <c r="E383" s="229" t="s">
        <v>76</v>
      </c>
      <c r="F383" s="229" t="s">
        <v>26</v>
      </c>
      <c r="G383">
        <v>6</v>
      </c>
    </row>
    <row r="384" spans="1:7" hidden="1" x14ac:dyDescent="0.2">
      <c r="A384" t="str">
        <f t="shared" si="5"/>
        <v>NECServiceJAVA: Métodos de Negócio (Controller)AComplexoMédio</v>
      </c>
      <c r="B384" s="229" t="s">
        <v>199</v>
      </c>
      <c r="C384" s="229" t="s">
        <v>206</v>
      </c>
      <c r="D384" s="229" t="s">
        <v>25</v>
      </c>
      <c r="E384" s="229" t="s">
        <v>76</v>
      </c>
      <c r="F384" s="229" t="s">
        <v>75</v>
      </c>
      <c r="G384">
        <v>10</v>
      </c>
    </row>
    <row r="385" spans="1:7" hidden="1" x14ac:dyDescent="0.2">
      <c r="A385" t="str">
        <f t="shared" si="5"/>
        <v>NECServiceJAVA: Métodos de Negócio (Controller)AComplexoComplexo</v>
      </c>
      <c r="B385" s="229" t="s">
        <v>199</v>
      </c>
      <c r="C385" s="229" t="s">
        <v>206</v>
      </c>
      <c r="D385" s="229" t="s">
        <v>25</v>
      </c>
      <c r="E385" s="229" t="s">
        <v>76</v>
      </c>
      <c r="F385" s="229" t="s">
        <v>76</v>
      </c>
      <c r="G385">
        <v>16</v>
      </c>
    </row>
    <row r="386" spans="1:7" hidden="1" x14ac:dyDescent="0.2">
      <c r="A386" t="str">
        <f t="shared" si="5"/>
        <v>NECServiceJAVA: EntityNSimples</v>
      </c>
      <c r="B386" s="229" t="s">
        <v>199</v>
      </c>
      <c r="C386" s="229" t="s">
        <v>207</v>
      </c>
      <c r="D386" s="229" t="s">
        <v>24</v>
      </c>
      <c r="E386" s="229" t="s">
        <v>26</v>
      </c>
      <c r="F386" s="229"/>
      <c r="G386">
        <v>1</v>
      </c>
    </row>
    <row r="387" spans="1:7" hidden="1" x14ac:dyDescent="0.2">
      <c r="A387" t="str">
        <f t="shared" ref="A387:A450" si="6">B387&amp;C387&amp;D387&amp;E387&amp;F387</f>
        <v>NECServiceJAVA: EntityNMédio</v>
      </c>
      <c r="B387" s="229" t="s">
        <v>199</v>
      </c>
      <c r="C387" s="229" t="s">
        <v>207</v>
      </c>
      <c r="D387" s="229" t="s">
        <v>24</v>
      </c>
      <c r="E387" s="229" t="s">
        <v>75</v>
      </c>
      <c r="F387" s="229"/>
      <c r="G387">
        <v>2</v>
      </c>
    </row>
    <row r="388" spans="1:7" hidden="1" x14ac:dyDescent="0.2">
      <c r="A388" t="str">
        <f t="shared" si="6"/>
        <v>NECServiceJAVA: EntityNComplexo</v>
      </c>
      <c r="B388" s="229" t="s">
        <v>199</v>
      </c>
      <c r="C388" s="229" t="s">
        <v>207</v>
      </c>
      <c r="D388" s="229" t="s">
        <v>24</v>
      </c>
      <c r="E388" s="229" t="s">
        <v>76</v>
      </c>
      <c r="F388" s="229"/>
      <c r="G388">
        <v>4</v>
      </c>
    </row>
    <row r="389" spans="1:7" hidden="1" x14ac:dyDescent="0.2">
      <c r="A389" t="str">
        <f t="shared" si="6"/>
        <v>NECServiceJAVA: EntityASimplesSimples</v>
      </c>
      <c r="B389" s="229" t="s">
        <v>199</v>
      </c>
      <c r="C389" s="229" t="s">
        <v>207</v>
      </c>
      <c r="D389" s="229" t="s">
        <v>25</v>
      </c>
      <c r="E389" s="229" t="s">
        <v>26</v>
      </c>
      <c r="F389" s="229" t="s">
        <v>26</v>
      </c>
      <c r="G389">
        <v>1</v>
      </c>
    </row>
    <row r="390" spans="1:7" hidden="1" x14ac:dyDescent="0.2">
      <c r="A390" t="str">
        <f t="shared" si="6"/>
        <v>NECServiceJAVA: EntityASimplesMédio</v>
      </c>
      <c r="B390" s="229" t="s">
        <v>199</v>
      </c>
      <c r="C390" s="229" t="s">
        <v>207</v>
      </c>
      <c r="D390" s="229" t="s">
        <v>25</v>
      </c>
      <c r="E390" s="229" t="s">
        <v>26</v>
      </c>
      <c r="F390" s="229" t="s">
        <v>75</v>
      </c>
      <c r="G390">
        <v>2</v>
      </c>
    </row>
    <row r="391" spans="1:7" hidden="1" x14ac:dyDescent="0.2">
      <c r="A391" t="str">
        <f t="shared" si="6"/>
        <v>NECServiceJAVA: EntityASimplesComplexo</v>
      </c>
      <c r="B391" s="229" t="s">
        <v>199</v>
      </c>
      <c r="C391" s="229" t="s">
        <v>207</v>
      </c>
      <c r="D391" s="229" t="s">
        <v>25</v>
      </c>
      <c r="E391" s="229" t="s">
        <v>26</v>
      </c>
      <c r="F391" s="229" t="s">
        <v>76</v>
      </c>
      <c r="G391">
        <v>3</v>
      </c>
    </row>
    <row r="392" spans="1:7" hidden="1" x14ac:dyDescent="0.2">
      <c r="A392" t="str">
        <f t="shared" si="6"/>
        <v>NECServiceJAVA: EntityAMédioSimples</v>
      </c>
      <c r="B392" s="229" t="s">
        <v>199</v>
      </c>
      <c r="C392" s="229" t="s">
        <v>207</v>
      </c>
      <c r="D392" s="229" t="s">
        <v>25</v>
      </c>
      <c r="E392" s="229" t="s">
        <v>75</v>
      </c>
      <c r="F392" s="229" t="s">
        <v>26</v>
      </c>
      <c r="G392">
        <v>2</v>
      </c>
    </row>
    <row r="393" spans="1:7" hidden="1" x14ac:dyDescent="0.2">
      <c r="A393" t="str">
        <f t="shared" si="6"/>
        <v>NECServiceJAVA: EntityAMédioMédio</v>
      </c>
      <c r="B393" s="229" t="s">
        <v>199</v>
      </c>
      <c r="C393" s="229" t="s">
        <v>207</v>
      </c>
      <c r="D393" s="229" t="s">
        <v>25</v>
      </c>
      <c r="E393" s="229" t="s">
        <v>75</v>
      </c>
      <c r="F393" s="229" t="s">
        <v>75</v>
      </c>
      <c r="G393">
        <v>3</v>
      </c>
    </row>
    <row r="394" spans="1:7" hidden="1" x14ac:dyDescent="0.2">
      <c r="A394" t="str">
        <f t="shared" si="6"/>
        <v>NECServiceJAVA: EntityAMédioComplexo</v>
      </c>
      <c r="B394" s="229" t="s">
        <v>199</v>
      </c>
      <c r="C394" s="229" t="s">
        <v>207</v>
      </c>
      <c r="D394" s="229" t="s">
        <v>25</v>
      </c>
      <c r="E394" s="229" t="s">
        <v>75</v>
      </c>
      <c r="F394" s="229" t="s">
        <v>76</v>
      </c>
      <c r="G394">
        <v>4</v>
      </c>
    </row>
    <row r="395" spans="1:7" hidden="1" x14ac:dyDescent="0.2">
      <c r="A395" t="str">
        <f t="shared" si="6"/>
        <v>NECServiceJAVA: EntityAComplexoSimples</v>
      </c>
      <c r="B395" s="229" t="s">
        <v>199</v>
      </c>
      <c r="C395" s="229" t="s">
        <v>207</v>
      </c>
      <c r="D395" s="229" t="s">
        <v>25</v>
      </c>
      <c r="E395" s="229" t="s">
        <v>76</v>
      </c>
      <c r="F395" s="229" t="s">
        <v>26</v>
      </c>
      <c r="G395">
        <v>3</v>
      </c>
    </row>
    <row r="396" spans="1:7" hidden="1" x14ac:dyDescent="0.2">
      <c r="A396" t="str">
        <f t="shared" si="6"/>
        <v>NECServiceJAVA: EntityAComplexoMédio</v>
      </c>
      <c r="B396" s="229" t="s">
        <v>199</v>
      </c>
      <c r="C396" s="229" t="s">
        <v>207</v>
      </c>
      <c r="D396" s="229" t="s">
        <v>25</v>
      </c>
      <c r="E396" s="229" t="s">
        <v>76</v>
      </c>
      <c r="F396" s="229" t="s">
        <v>75</v>
      </c>
      <c r="G396">
        <v>5</v>
      </c>
    </row>
    <row r="397" spans="1:7" hidden="1" x14ac:dyDescent="0.2">
      <c r="A397" t="str">
        <f t="shared" si="6"/>
        <v>NECServiceJAVA: EntityAComplexoComplexo</v>
      </c>
      <c r="B397" s="229" t="s">
        <v>199</v>
      </c>
      <c r="C397" s="229" t="s">
        <v>207</v>
      </c>
      <c r="D397" s="229" t="s">
        <v>25</v>
      </c>
      <c r="E397" s="229" t="s">
        <v>76</v>
      </c>
      <c r="F397" s="229" t="s">
        <v>76</v>
      </c>
      <c r="G397">
        <v>8</v>
      </c>
    </row>
    <row r="398" spans="1:7" hidden="1" x14ac:dyDescent="0.2">
      <c r="A398" t="str">
        <f t="shared" si="6"/>
        <v>NECServiceJAVA: Consulta Banco de DadosNSimples</v>
      </c>
      <c r="B398" s="229" t="s">
        <v>199</v>
      </c>
      <c r="C398" s="229" t="s">
        <v>208</v>
      </c>
      <c r="D398" s="229" t="s">
        <v>24</v>
      </c>
      <c r="E398" s="229" t="s">
        <v>26</v>
      </c>
      <c r="F398" s="229"/>
      <c r="G398">
        <v>2</v>
      </c>
    </row>
    <row r="399" spans="1:7" hidden="1" x14ac:dyDescent="0.2">
      <c r="A399" t="str">
        <f t="shared" si="6"/>
        <v>NECServiceJAVA: Consulta Banco de DadosNMédio</v>
      </c>
      <c r="B399" s="229" t="s">
        <v>199</v>
      </c>
      <c r="C399" s="229" t="s">
        <v>208</v>
      </c>
      <c r="D399" s="229" t="s">
        <v>24</v>
      </c>
      <c r="E399" s="229" t="s">
        <v>75</v>
      </c>
      <c r="F399" s="229"/>
      <c r="G399">
        <v>5</v>
      </c>
    </row>
    <row r="400" spans="1:7" hidden="1" x14ac:dyDescent="0.2">
      <c r="A400" t="str">
        <f t="shared" si="6"/>
        <v>NECServiceJAVA: Consulta Banco de DadosNComplexo</v>
      </c>
      <c r="B400" s="229" t="s">
        <v>199</v>
      </c>
      <c r="C400" s="229" t="s">
        <v>208</v>
      </c>
      <c r="D400" s="229" t="s">
        <v>24</v>
      </c>
      <c r="E400" s="229" t="s">
        <v>76</v>
      </c>
      <c r="F400" s="229"/>
      <c r="G400">
        <v>8</v>
      </c>
    </row>
    <row r="401" spans="1:7" hidden="1" x14ac:dyDescent="0.2">
      <c r="A401" t="str">
        <f t="shared" si="6"/>
        <v>NECServiceJAVA: Consulta Banco de DadosASimplesSimples</v>
      </c>
      <c r="B401" s="229" t="s">
        <v>199</v>
      </c>
      <c r="C401" s="229" t="s">
        <v>208</v>
      </c>
      <c r="D401" s="229" t="s">
        <v>25</v>
      </c>
      <c r="E401" s="229" t="s">
        <v>26</v>
      </c>
      <c r="F401" s="229" t="s">
        <v>26</v>
      </c>
      <c r="G401">
        <v>2</v>
      </c>
    </row>
    <row r="402" spans="1:7" hidden="1" x14ac:dyDescent="0.2">
      <c r="A402" t="str">
        <f t="shared" si="6"/>
        <v>NECServiceJAVA: Consulta Banco de DadosASimplesMédio</v>
      </c>
      <c r="B402" s="229" t="s">
        <v>199</v>
      </c>
      <c r="C402" s="229" t="s">
        <v>208</v>
      </c>
      <c r="D402" s="229" t="s">
        <v>25</v>
      </c>
      <c r="E402" s="229" t="s">
        <v>26</v>
      </c>
      <c r="F402" s="229" t="s">
        <v>75</v>
      </c>
      <c r="G402">
        <v>4</v>
      </c>
    </row>
    <row r="403" spans="1:7" hidden="1" x14ac:dyDescent="0.2">
      <c r="A403" t="str">
        <f t="shared" si="6"/>
        <v>NECServiceJAVA: Consulta Banco de DadosASimplesComplexo</v>
      </c>
      <c r="B403" s="229" t="s">
        <v>199</v>
      </c>
      <c r="C403" s="229" t="s">
        <v>208</v>
      </c>
      <c r="D403" s="229" t="s">
        <v>25</v>
      </c>
      <c r="E403" s="229" t="s">
        <v>26</v>
      </c>
      <c r="F403" s="229" t="s">
        <v>76</v>
      </c>
      <c r="G403">
        <v>6</v>
      </c>
    </row>
    <row r="404" spans="1:7" hidden="1" x14ac:dyDescent="0.2">
      <c r="A404" t="str">
        <f t="shared" si="6"/>
        <v>NECServiceJAVA: Consulta Banco de DadosAMédioSimples</v>
      </c>
      <c r="B404" s="229" t="s">
        <v>199</v>
      </c>
      <c r="C404" s="229" t="s">
        <v>208</v>
      </c>
      <c r="D404" s="229" t="s">
        <v>25</v>
      </c>
      <c r="E404" s="229" t="s">
        <v>75</v>
      </c>
      <c r="F404" s="229" t="s">
        <v>26</v>
      </c>
      <c r="G404">
        <v>3</v>
      </c>
    </row>
    <row r="405" spans="1:7" hidden="1" x14ac:dyDescent="0.2">
      <c r="A405" t="str">
        <f t="shared" si="6"/>
        <v>NECServiceJAVA: Consulta Banco de DadosAMédioMédio</v>
      </c>
      <c r="B405" s="229" t="s">
        <v>199</v>
      </c>
      <c r="C405" s="229" t="s">
        <v>208</v>
      </c>
      <c r="D405" s="229" t="s">
        <v>25</v>
      </c>
      <c r="E405" s="229" t="s">
        <v>75</v>
      </c>
      <c r="F405" s="229" t="s">
        <v>75</v>
      </c>
      <c r="G405">
        <v>6</v>
      </c>
    </row>
    <row r="406" spans="1:7" hidden="1" x14ac:dyDescent="0.2">
      <c r="A406" t="str">
        <f t="shared" si="6"/>
        <v>NECServiceJAVA: Consulta Banco de DadosAMédioComplexo</v>
      </c>
      <c r="B406" s="229" t="s">
        <v>199</v>
      </c>
      <c r="C406" s="229" t="s">
        <v>208</v>
      </c>
      <c r="D406" s="229" t="s">
        <v>25</v>
      </c>
      <c r="E406" s="229" t="s">
        <v>75</v>
      </c>
      <c r="F406" s="229" t="s">
        <v>76</v>
      </c>
      <c r="G406">
        <v>8</v>
      </c>
    </row>
    <row r="407" spans="1:7" hidden="1" x14ac:dyDescent="0.2">
      <c r="A407" t="str">
        <f t="shared" si="6"/>
        <v>NECServiceJAVA: Consulta Banco de DadosAComplexoSimples</v>
      </c>
      <c r="B407" s="229" t="s">
        <v>199</v>
      </c>
      <c r="C407" s="229" t="s">
        <v>208</v>
      </c>
      <c r="D407" s="229" t="s">
        <v>25</v>
      </c>
      <c r="E407" s="229" t="s">
        <v>76</v>
      </c>
      <c r="F407" s="229" t="s">
        <v>26</v>
      </c>
      <c r="G407">
        <v>5</v>
      </c>
    </row>
    <row r="408" spans="1:7" hidden="1" x14ac:dyDescent="0.2">
      <c r="A408" t="str">
        <f t="shared" si="6"/>
        <v>NECServiceJAVA: Consulta Banco de DadosAComplexoMédio</v>
      </c>
      <c r="B408" s="229" t="s">
        <v>199</v>
      </c>
      <c r="C408" s="229" t="s">
        <v>208</v>
      </c>
      <c r="D408" s="229" t="s">
        <v>25</v>
      </c>
      <c r="E408" s="229" t="s">
        <v>76</v>
      </c>
      <c r="F408" s="229" t="s">
        <v>75</v>
      </c>
      <c r="G408">
        <v>8</v>
      </c>
    </row>
    <row r="409" spans="1:7" hidden="1" x14ac:dyDescent="0.2">
      <c r="A409" t="str">
        <f t="shared" si="6"/>
        <v>NECServiceJAVA: Consulta Banco de DadosAComplexoComplexo</v>
      </c>
      <c r="B409" s="229" t="s">
        <v>199</v>
      </c>
      <c r="C409" s="229" t="s">
        <v>208</v>
      </c>
      <c r="D409" s="229" t="s">
        <v>25</v>
      </c>
      <c r="E409" s="229" t="s">
        <v>76</v>
      </c>
      <c r="F409" s="229" t="s">
        <v>76</v>
      </c>
      <c r="G409">
        <v>10</v>
      </c>
    </row>
    <row r="410" spans="1:7" hidden="1" x14ac:dyDescent="0.2">
      <c r="A410" t="str">
        <f t="shared" si="6"/>
        <v>NECServiceJAVA: Geração de StubsNSimples</v>
      </c>
      <c r="B410" s="229" t="s">
        <v>199</v>
      </c>
      <c r="C410" s="229" t="s">
        <v>209</v>
      </c>
      <c r="D410" s="229" t="s">
        <v>24</v>
      </c>
      <c r="E410" s="229" t="s">
        <v>26</v>
      </c>
      <c r="F410" s="229"/>
      <c r="G410">
        <v>1</v>
      </c>
    </row>
    <row r="411" spans="1:7" hidden="1" x14ac:dyDescent="0.2">
      <c r="A411" t="str">
        <f t="shared" si="6"/>
        <v>NECServiceJAVA: Geração de StubsNMédio</v>
      </c>
      <c r="B411" s="229" t="s">
        <v>199</v>
      </c>
      <c r="C411" s="229" t="s">
        <v>209</v>
      </c>
      <c r="D411" s="229" t="s">
        <v>24</v>
      </c>
      <c r="E411" s="229" t="s">
        <v>75</v>
      </c>
      <c r="F411" s="229"/>
      <c r="G411">
        <v>3</v>
      </c>
    </row>
    <row r="412" spans="1:7" hidden="1" x14ac:dyDescent="0.2">
      <c r="A412" t="str">
        <f t="shared" si="6"/>
        <v>NECServiceJAVA: Geração de StubsNComplexo</v>
      </c>
      <c r="B412" s="229" t="s">
        <v>199</v>
      </c>
      <c r="C412" s="229" t="s">
        <v>209</v>
      </c>
      <c r="D412" s="229" t="s">
        <v>24</v>
      </c>
      <c r="E412" s="229" t="s">
        <v>76</v>
      </c>
      <c r="F412" s="229"/>
      <c r="G412">
        <v>8</v>
      </c>
    </row>
    <row r="413" spans="1:7" hidden="1" x14ac:dyDescent="0.2">
      <c r="A413" t="str">
        <f t="shared" si="6"/>
        <v>NECServiceJAVA: Geração de StubsASimplesSimples</v>
      </c>
      <c r="B413" s="229" t="s">
        <v>199</v>
      </c>
      <c r="C413" s="229" t="s">
        <v>209</v>
      </c>
      <c r="D413" s="229" t="s">
        <v>25</v>
      </c>
      <c r="E413" s="229" t="s">
        <v>26</v>
      </c>
      <c r="F413" s="229" t="s">
        <v>26</v>
      </c>
      <c r="G413">
        <v>1</v>
      </c>
    </row>
    <row r="414" spans="1:7" hidden="1" x14ac:dyDescent="0.2">
      <c r="A414" t="str">
        <f t="shared" si="6"/>
        <v>NECServiceJAVA: Geração de StubsASimplesMédio</v>
      </c>
      <c r="B414" s="229" t="s">
        <v>199</v>
      </c>
      <c r="C414" s="229" t="s">
        <v>209</v>
      </c>
      <c r="D414" s="229" t="s">
        <v>25</v>
      </c>
      <c r="E414" s="229" t="s">
        <v>26</v>
      </c>
      <c r="F414" s="229" t="s">
        <v>75</v>
      </c>
      <c r="G414">
        <v>2</v>
      </c>
    </row>
    <row r="415" spans="1:7" hidden="1" x14ac:dyDescent="0.2">
      <c r="A415" t="str">
        <f t="shared" si="6"/>
        <v>NECServiceJAVA: Geração de StubsASimplesComplexo</v>
      </c>
      <c r="B415" s="229" t="s">
        <v>199</v>
      </c>
      <c r="C415" s="229" t="s">
        <v>209</v>
      </c>
      <c r="D415" s="229" t="s">
        <v>25</v>
      </c>
      <c r="E415" s="229" t="s">
        <v>26</v>
      </c>
      <c r="F415" s="229" t="s">
        <v>76</v>
      </c>
      <c r="G415">
        <v>3</v>
      </c>
    </row>
    <row r="416" spans="1:7" hidden="1" x14ac:dyDescent="0.2">
      <c r="A416" t="str">
        <f t="shared" si="6"/>
        <v>NECServiceJAVA: Geração de StubsAMédioSimples</v>
      </c>
      <c r="B416" s="229" t="s">
        <v>199</v>
      </c>
      <c r="C416" s="229" t="s">
        <v>209</v>
      </c>
      <c r="D416" s="229" t="s">
        <v>25</v>
      </c>
      <c r="E416" s="229" t="s">
        <v>75</v>
      </c>
      <c r="F416" s="229" t="s">
        <v>26</v>
      </c>
      <c r="G416">
        <v>2</v>
      </c>
    </row>
    <row r="417" spans="1:7" hidden="1" x14ac:dyDescent="0.2">
      <c r="A417" t="str">
        <f t="shared" si="6"/>
        <v>NECServiceJAVA: Geração de StubsAMédioMédio</v>
      </c>
      <c r="B417" s="229" t="s">
        <v>199</v>
      </c>
      <c r="C417" s="229" t="s">
        <v>209</v>
      </c>
      <c r="D417" s="229" t="s">
        <v>25</v>
      </c>
      <c r="E417" s="229" t="s">
        <v>75</v>
      </c>
      <c r="F417" s="229" t="s">
        <v>75</v>
      </c>
      <c r="G417">
        <v>3</v>
      </c>
    </row>
    <row r="418" spans="1:7" hidden="1" x14ac:dyDescent="0.2">
      <c r="A418" t="str">
        <f t="shared" si="6"/>
        <v>NECServiceJAVA: Geração de StubsAMédioComplexo</v>
      </c>
      <c r="B418" s="229" t="s">
        <v>199</v>
      </c>
      <c r="C418" s="229" t="s">
        <v>209</v>
      </c>
      <c r="D418" s="229" t="s">
        <v>25</v>
      </c>
      <c r="E418" s="229" t="s">
        <v>75</v>
      </c>
      <c r="F418" s="229" t="s">
        <v>76</v>
      </c>
      <c r="G418">
        <v>5</v>
      </c>
    </row>
    <row r="419" spans="1:7" hidden="1" x14ac:dyDescent="0.2">
      <c r="A419" t="str">
        <f t="shared" si="6"/>
        <v>NECServiceJAVA: Geração de StubsAComplexoSimples</v>
      </c>
      <c r="B419" s="229" t="s">
        <v>199</v>
      </c>
      <c r="C419" s="229" t="s">
        <v>209</v>
      </c>
      <c r="D419" s="229" t="s">
        <v>25</v>
      </c>
      <c r="E419" s="229" t="s">
        <v>76</v>
      </c>
      <c r="F419" s="229" t="s">
        <v>26</v>
      </c>
      <c r="G419">
        <v>4</v>
      </c>
    </row>
    <row r="420" spans="1:7" hidden="1" x14ac:dyDescent="0.2">
      <c r="A420" t="str">
        <f t="shared" si="6"/>
        <v>NECServiceJAVA: Geração de StubsAComplexoMédio</v>
      </c>
      <c r="B420" s="229" t="s">
        <v>199</v>
      </c>
      <c r="C420" s="229" t="s">
        <v>209</v>
      </c>
      <c r="D420" s="229" t="s">
        <v>25</v>
      </c>
      <c r="E420" s="229" t="s">
        <v>76</v>
      </c>
      <c r="F420" s="229" t="s">
        <v>75</v>
      </c>
      <c r="G420">
        <v>6</v>
      </c>
    </row>
    <row r="421" spans="1:7" hidden="1" x14ac:dyDescent="0.2">
      <c r="A421" t="str">
        <f t="shared" si="6"/>
        <v>NECServiceJAVA: Geração de StubsAComplexoComplexo</v>
      </c>
      <c r="B421" s="229" t="s">
        <v>199</v>
      </c>
      <c r="C421" s="229" t="s">
        <v>209</v>
      </c>
      <c r="D421" s="229" t="s">
        <v>25</v>
      </c>
      <c r="E421" s="229" t="s">
        <v>76</v>
      </c>
      <c r="F421" s="229" t="s">
        <v>76</v>
      </c>
      <c r="G421">
        <v>8</v>
      </c>
    </row>
    <row r="422" spans="1:7" hidden="1" x14ac:dyDescent="0.2">
      <c r="A422" t="str">
        <f t="shared" si="6"/>
        <v>NECServiceJSPNSimples</v>
      </c>
      <c r="B422" s="229" t="s">
        <v>199</v>
      </c>
      <c r="C422" s="229" t="s">
        <v>210</v>
      </c>
      <c r="D422" s="229" t="s">
        <v>24</v>
      </c>
      <c r="E422" s="229" t="s">
        <v>26</v>
      </c>
      <c r="F422" s="229"/>
      <c r="G422">
        <v>12</v>
      </c>
    </row>
    <row r="423" spans="1:7" hidden="1" x14ac:dyDescent="0.2">
      <c r="A423" t="str">
        <f t="shared" si="6"/>
        <v>NECServiceJSPNMédio</v>
      </c>
      <c r="B423" s="229" t="s">
        <v>199</v>
      </c>
      <c r="C423" s="229" t="s">
        <v>210</v>
      </c>
      <c r="D423" s="229" t="s">
        <v>24</v>
      </c>
      <c r="E423" s="229" t="s">
        <v>75</v>
      </c>
      <c r="F423" s="229"/>
      <c r="G423">
        <v>18</v>
      </c>
    </row>
    <row r="424" spans="1:7" hidden="1" x14ac:dyDescent="0.2">
      <c r="A424" t="str">
        <f t="shared" si="6"/>
        <v>NECServiceJSPNComplexo</v>
      </c>
      <c r="B424" s="229" t="s">
        <v>199</v>
      </c>
      <c r="C424" s="229" t="s">
        <v>210</v>
      </c>
      <c r="D424" s="229" t="s">
        <v>24</v>
      </c>
      <c r="E424" s="229" t="s">
        <v>76</v>
      </c>
      <c r="F424" s="229"/>
      <c r="G424">
        <v>24</v>
      </c>
    </row>
    <row r="425" spans="1:7" hidden="1" x14ac:dyDescent="0.2">
      <c r="A425" t="str">
        <f t="shared" si="6"/>
        <v>NECServiceJSPASimplesSimples</v>
      </c>
      <c r="B425" s="229" t="s">
        <v>199</v>
      </c>
      <c r="C425" s="229" t="s">
        <v>210</v>
      </c>
      <c r="D425" s="229" t="s">
        <v>25</v>
      </c>
      <c r="E425" s="229" t="s">
        <v>26</v>
      </c>
      <c r="F425" s="229" t="s">
        <v>26</v>
      </c>
      <c r="G425">
        <v>5</v>
      </c>
    </row>
    <row r="426" spans="1:7" hidden="1" x14ac:dyDescent="0.2">
      <c r="A426" t="str">
        <f t="shared" si="6"/>
        <v>NECServiceJSPASimplesMédio</v>
      </c>
      <c r="B426" s="229" t="s">
        <v>199</v>
      </c>
      <c r="C426" s="229" t="s">
        <v>210</v>
      </c>
      <c r="D426" s="229" t="s">
        <v>25</v>
      </c>
      <c r="E426" s="229" t="s">
        <v>26</v>
      </c>
      <c r="F426" s="229" t="s">
        <v>75</v>
      </c>
      <c r="G426">
        <v>8</v>
      </c>
    </row>
    <row r="427" spans="1:7" hidden="1" x14ac:dyDescent="0.2">
      <c r="A427" t="str">
        <f t="shared" si="6"/>
        <v>NECServiceJSPASimplesComplexo</v>
      </c>
      <c r="B427" s="229" t="s">
        <v>199</v>
      </c>
      <c r="C427" s="229" t="s">
        <v>210</v>
      </c>
      <c r="D427" s="229" t="s">
        <v>25</v>
      </c>
      <c r="E427" s="229" t="s">
        <v>26</v>
      </c>
      <c r="F427" s="229" t="s">
        <v>76</v>
      </c>
      <c r="G427">
        <v>10</v>
      </c>
    </row>
    <row r="428" spans="1:7" hidden="1" x14ac:dyDescent="0.2">
      <c r="A428" t="str">
        <f t="shared" si="6"/>
        <v>NECServiceJSPAMédioSimples</v>
      </c>
      <c r="B428" s="229" t="s">
        <v>199</v>
      </c>
      <c r="C428" s="229" t="s">
        <v>210</v>
      </c>
      <c r="D428" s="229" t="s">
        <v>25</v>
      </c>
      <c r="E428" s="229" t="s">
        <v>75</v>
      </c>
      <c r="F428" s="229" t="s">
        <v>26</v>
      </c>
      <c r="G428">
        <v>8</v>
      </c>
    </row>
    <row r="429" spans="1:7" hidden="1" x14ac:dyDescent="0.2">
      <c r="A429" t="str">
        <f t="shared" si="6"/>
        <v>NECServiceJSPAMédioMédio</v>
      </c>
      <c r="B429" s="229" t="s">
        <v>199</v>
      </c>
      <c r="C429" s="229" t="s">
        <v>210</v>
      </c>
      <c r="D429" s="229" t="s">
        <v>25</v>
      </c>
      <c r="E429" s="229" t="s">
        <v>75</v>
      </c>
      <c r="F429" s="229" t="s">
        <v>75</v>
      </c>
      <c r="G429">
        <v>10</v>
      </c>
    </row>
    <row r="430" spans="1:7" hidden="1" x14ac:dyDescent="0.2">
      <c r="A430" t="str">
        <f t="shared" si="6"/>
        <v>NECServiceJSPAMédioComplexo</v>
      </c>
      <c r="B430" s="229" t="s">
        <v>199</v>
      </c>
      <c r="C430" s="229" t="s">
        <v>210</v>
      </c>
      <c r="D430" s="229" t="s">
        <v>25</v>
      </c>
      <c r="E430" s="229" t="s">
        <v>75</v>
      </c>
      <c r="F430" s="229" t="s">
        <v>76</v>
      </c>
      <c r="G430">
        <v>12</v>
      </c>
    </row>
    <row r="431" spans="1:7" hidden="1" x14ac:dyDescent="0.2">
      <c r="A431" t="str">
        <f t="shared" si="6"/>
        <v>NECServiceJSPAComplexoSimples</v>
      </c>
      <c r="B431" s="229" t="s">
        <v>199</v>
      </c>
      <c r="C431" s="229" t="s">
        <v>210</v>
      </c>
      <c r="D431" s="229" t="s">
        <v>25</v>
      </c>
      <c r="E431" s="229" t="s">
        <v>76</v>
      </c>
      <c r="F431" s="229" t="s">
        <v>26</v>
      </c>
      <c r="G431">
        <v>6</v>
      </c>
    </row>
    <row r="432" spans="1:7" hidden="1" x14ac:dyDescent="0.2">
      <c r="A432" t="str">
        <f t="shared" si="6"/>
        <v>NECServiceJSPAComplexoMédio</v>
      </c>
      <c r="B432" s="229" t="s">
        <v>199</v>
      </c>
      <c r="C432" s="229" t="s">
        <v>210</v>
      </c>
      <c r="D432" s="229" t="s">
        <v>25</v>
      </c>
      <c r="E432" s="229" t="s">
        <v>76</v>
      </c>
      <c r="F432" s="229" t="s">
        <v>75</v>
      </c>
      <c r="G432">
        <v>12</v>
      </c>
    </row>
    <row r="433" spans="1:7" hidden="1" x14ac:dyDescent="0.2">
      <c r="A433" t="str">
        <f t="shared" si="6"/>
        <v>NECServiceJSPAComplexoComplexo</v>
      </c>
      <c r="B433" s="229" t="s">
        <v>199</v>
      </c>
      <c r="C433" s="229" t="s">
        <v>210</v>
      </c>
      <c r="D433" s="229" t="s">
        <v>25</v>
      </c>
      <c r="E433" s="229" t="s">
        <v>76</v>
      </c>
      <c r="F433" s="229" t="s">
        <v>76</v>
      </c>
      <c r="G433">
        <v>22</v>
      </c>
    </row>
    <row r="434" spans="1:7" hidden="1" x14ac:dyDescent="0.2">
      <c r="A434" t="str">
        <f t="shared" si="6"/>
        <v>NECServiceConfiguração Projeto/MóduloNSimples</v>
      </c>
      <c r="B434" s="229" t="s">
        <v>199</v>
      </c>
      <c r="C434" s="229" t="s">
        <v>221</v>
      </c>
      <c r="D434" s="229" t="s">
        <v>24</v>
      </c>
      <c r="E434" s="229" t="s">
        <v>26</v>
      </c>
      <c r="F434" s="229"/>
      <c r="G434">
        <v>2</v>
      </c>
    </row>
    <row r="435" spans="1:7" hidden="1" x14ac:dyDescent="0.2">
      <c r="A435" t="str">
        <f t="shared" si="6"/>
        <v>NECServiceConfiguração Projeto/MóduloNMédio</v>
      </c>
      <c r="B435" s="229" t="s">
        <v>199</v>
      </c>
      <c r="C435" s="229" t="s">
        <v>221</v>
      </c>
      <c r="D435" s="229" t="s">
        <v>24</v>
      </c>
      <c r="E435" s="229" t="s">
        <v>75</v>
      </c>
      <c r="F435" s="229"/>
      <c r="G435">
        <v>4</v>
      </c>
    </row>
    <row r="436" spans="1:7" hidden="1" x14ac:dyDescent="0.2">
      <c r="A436" t="str">
        <f t="shared" si="6"/>
        <v>NECServiceConfiguração Projeto/MóduloNComplexo</v>
      </c>
      <c r="B436" s="229" t="s">
        <v>199</v>
      </c>
      <c r="C436" s="229" t="s">
        <v>221</v>
      </c>
      <c r="D436" s="229" t="s">
        <v>24</v>
      </c>
      <c r="E436" s="229" t="s">
        <v>76</v>
      </c>
      <c r="F436" s="229"/>
      <c r="G436">
        <v>8</v>
      </c>
    </row>
    <row r="437" spans="1:7" hidden="1" x14ac:dyDescent="0.2">
      <c r="A437" t="str">
        <f t="shared" si="6"/>
        <v>NECServiceConfiguração Projeto/MóduloASimplesSimples</v>
      </c>
      <c r="B437" s="229" t="s">
        <v>199</v>
      </c>
      <c r="C437" s="229" t="s">
        <v>221</v>
      </c>
      <c r="D437" s="229" t="s">
        <v>25</v>
      </c>
      <c r="E437" s="229" t="s">
        <v>26</v>
      </c>
      <c r="F437" s="229" t="s">
        <v>26</v>
      </c>
      <c r="G437">
        <v>1</v>
      </c>
    </row>
    <row r="438" spans="1:7" hidden="1" x14ac:dyDescent="0.2">
      <c r="A438" t="str">
        <f t="shared" si="6"/>
        <v>NECServiceConfiguração Projeto/MóduloASimplesMédio</v>
      </c>
      <c r="B438" s="229" t="s">
        <v>199</v>
      </c>
      <c r="C438" s="229" t="s">
        <v>221</v>
      </c>
      <c r="D438" s="229" t="s">
        <v>25</v>
      </c>
      <c r="E438" s="229" t="s">
        <v>26</v>
      </c>
      <c r="F438" s="229" t="s">
        <v>75</v>
      </c>
      <c r="G438">
        <v>2</v>
      </c>
    </row>
    <row r="439" spans="1:7" hidden="1" x14ac:dyDescent="0.2">
      <c r="A439" t="str">
        <f t="shared" si="6"/>
        <v>NECServiceConfiguração Projeto/MóduloASimplesComplexo</v>
      </c>
      <c r="B439" s="229" t="s">
        <v>199</v>
      </c>
      <c r="C439" s="229" t="s">
        <v>221</v>
      </c>
      <c r="D439" s="229" t="s">
        <v>25</v>
      </c>
      <c r="E439" s="229" t="s">
        <v>26</v>
      </c>
      <c r="F439" s="229" t="s">
        <v>76</v>
      </c>
      <c r="G439">
        <v>4</v>
      </c>
    </row>
    <row r="440" spans="1:7" hidden="1" x14ac:dyDescent="0.2">
      <c r="A440" t="str">
        <f t="shared" si="6"/>
        <v>NECServiceConfiguração Projeto/MóduloAMédioSimples</v>
      </c>
      <c r="B440" s="229" t="s">
        <v>199</v>
      </c>
      <c r="C440" s="229" t="s">
        <v>221</v>
      </c>
      <c r="D440" s="229" t="s">
        <v>25</v>
      </c>
      <c r="E440" s="229" t="s">
        <v>75</v>
      </c>
      <c r="F440" s="229" t="s">
        <v>26</v>
      </c>
      <c r="G440">
        <v>2</v>
      </c>
    </row>
    <row r="441" spans="1:7" hidden="1" x14ac:dyDescent="0.2">
      <c r="A441" t="str">
        <f t="shared" si="6"/>
        <v>NECServiceConfiguração Projeto/MóduloAMédioMédio</v>
      </c>
      <c r="B441" s="229" t="s">
        <v>199</v>
      </c>
      <c r="C441" s="229" t="s">
        <v>221</v>
      </c>
      <c r="D441" s="229" t="s">
        <v>25</v>
      </c>
      <c r="E441" s="229" t="s">
        <v>75</v>
      </c>
      <c r="F441" s="229" t="s">
        <v>75</v>
      </c>
      <c r="G441">
        <v>4</v>
      </c>
    </row>
    <row r="442" spans="1:7" hidden="1" x14ac:dyDescent="0.2">
      <c r="A442" t="str">
        <f t="shared" si="6"/>
        <v>NECServiceConfiguração Projeto/MóduloAMédioComplexo</v>
      </c>
      <c r="B442" s="229" t="s">
        <v>199</v>
      </c>
      <c r="C442" s="229" t="s">
        <v>221</v>
      </c>
      <c r="D442" s="229" t="s">
        <v>25</v>
      </c>
      <c r="E442" s="229" t="s">
        <v>75</v>
      </c>
      <c r="F442" s="229" t="s">
        <v>76</v>
      </c>
      <c r="G442">
        <v>5</v>
      </c>
    </row>
    <row r="443" spans="1:7" hidden="1" x14ac:dyDescent="0.2">
      <c r="A443" t="str">
        <f t="shared" si="6"/>
        <v>NECServiceConfiguração Projeto/MóduloAComplexoSimples</v>
      </c>
      <c r="B443" s="229" t="s">
        <v>199</v>
      </c>
      <c r="C443" s="229" t="s">
        <v>221</v>
      </c>
      <c r="D443" s="229" t="s">
        <v>25</v>
      </c>
      <c r="E443" s="229" t="s">
        <v>76</v>
      </c>
      <c r="F443" s="229" t="s">
        <v>26</v>
      </c>
      <c r="G443">
        <v>5</v>
      </c>
    </row>
    <row r="444" spans="1:7" hidden="1" x14ac:dyDescent="0.2">
      <c r="A444" t="str">
        <f t="shared" si="6"/>
        <v>NECServiceConfiguração Projeto/MóduloAComplexoMédio</v>
      </c>
      <c r="B444" s="229" t="s">
        <v>199</v>
      </c>
      <c r="C444" s="229" t="s">
        <v>221</v>
      </c>
      <c r="D444" s="229" t="s">
        <v>25</v>
      </c>
      <c r="E444" s="229" t="s">
        <v>76</v>
      </c>
      <c r="F444" s="229" t="s">
        <v>75</v>
      </c>
      <c r="G444">
        <v>7</v>
      </c>
    </row>
    <row r="445" spans="1:7" hidden="1" x14ac:dyDescent="0.2">
      <c r="A445" t="str">
        <f t="shared" si="6"/>
        <v>NECServiceConfiguração Projeto/MóduloAComplexoComplexo</v>
      </c>
      <c r="B445" s="229" t="s">
        <v>199</v>
      </c>
      <c r="C445" s="229" t="s">
        <v>221</v>
      </c>
      <c r="D445" s="229" t="s">
        <v>25</v>
      </c>
      <c r="E445" s="229" t="s">
        <v>76</v>
      </c>
      <c r="F445" s="229" t="s">
        <v>76</v>
      </c>
      <c r="G445">
        <v>8</v>
      </c>
    </row>
    <row r="446" spans="1:7" hidden="1" x14ac:dyDescent="0.2">
      <c r="A446" t="str">
        <f t="shared" si="6"/>
        <v>CPEServicesRegraDroolsNSimples</v>
      </c>
      <c r="B446" s="229" t="s">
        <v>229</v>
      </c>
      <c r="C446" s="229" t="s">
        <v>218</v>
      </c>
      <c r="D446" s="229" t="s">
        <v>24</v>
      </c>
      <c r="E446" s="229" t="s">
        <v>26</v>
      </c>
      <c r="F446" s="229"/>
      <c r="G446">
        <v>3</v>
      </c>
    </row>
    <row r="447" spans="1:7" hidden="1" x14ac:dyDescent="0.2">
      <c r="A447" t="str">
        <f t="shared" si="6"/>
        <v>CPEServicesRegraDroolsNMédio</v>
      </c>
      <c r="B447" s="229" t="s">
        <v>229</v>
      </c>
      <c r="C447" s="229" t="s">
        <v>218</v>
      </c>
      <c r="D447" s="229" t="s">
        <v>24</v>
      </c>
      <c r="E447" s="229" t="s">
        <v>75</v>
      </c>
      <c r="F447" s="229"/>
      <c r="G447">
        <v>5</v>
      </c>
    </row>
    <row r="448" spans="1:7" hidden="1" x14ac:dyDescent="0.2">
      <c r="A448" t="str">
        <f t="shared" si="6"/>
        <v>CPEServicesRegraDroolsNComplexo</v>
      </c>
      <c r="B448" s="229" t="s">
        <v>229</v>
      </c>
      <c r="C448" s="229" t="s">
        <v>218</v>
      </c>
      <c r="D448" s="229" t="s">
        <v>24</v>
      </c>
      <c r="E448" s="229" t="s">
        <v>76</v>
      </c>
      <c r="F448" s="229"/>
      <c r="G448">
        <v>9</v>
      </c>
    </row>
    <row r="449" spans="1:7" hidden="1" x14ac:dyDescent="0.2">
      <c r="A449" t="str">
        <f t="shared" si="6"/>
        <v>CPEServicesRegraDroolsASimplesSimples</v>
      </c>
      <c r="B449" s="229" t="s">
        <v>229</v>
      </c>
      <c r="C449" s="229" t="s">
        <v>218</v>
      </c>
      <c r="D449" s="229" t="s">
        <v>25</v>
      </c>
      <c r="E449" s="229" t="s">
        <v>26</v>
      </c>
      <c r="F449" s="229" t="s">
        <v>26</v>
      </c>
      <c r="G449">
        <v>2</v>
      </c>
    </row>
    <row r="450" spans="1:7" hidden="1" x14ac:dyDescent="0.2">
      <c r="A450" t="str">
        <f t="shared" si="6"/>
        <v>CPEServicesRegraDroolsASimplesMédio</v>
      </c>
      <c r="B450" s="229" t="s">
        <v>229</v>
      </c>
      <c r="C450" s="229" t="s">
        <v>218</v>
      </c>
      <c r="D450" s="229" t="s">
        <v>25</v>
      </c>
      <c r="E450" s="229" t="s">
        <v>26</v>
      </c>
      <c r="F450" s="229" t="s">
        <v>75</v>
      </c>
      <c r="G450">
        <v>4</v>
      </c>
    </row>
    <row r="451" spans="1:7" hidden="1" x14ac:dyDescent="0.2">
      <c r="A451" t="str">
        <f t="shared" ref="A451:A514" si="7">B451&amp;C451&amp;D451&amp;E451&amp;F451</f>
        <v>CPEServicesRegraDroolsASimplesComplexo</v>
      </c>
      <c r="B451" s="229" t="s">
        <v>229</v>
      </c>
      <c r="C451" s="229" t="s">
        <v>218</v>
      </c>
      <c r="D451" s="229" t="s">
        <v>25</v>
      </c>
      <c r="E451" s="229" t="s">
        <v>26</v>
      </c>
      <c r="F451" s="229" t="s">
        <v>76</v>
      </c>
      <c r="G451">
        <v>6</v>
      </c>
    </row>
    <row r="452" spans="1:7" hidden="1" x14ac:dyDescent="0.2">
      <c r="A452" t="str">
        <f t="shared" si="7"/>
        <v>CPEServicesRegraDroolsAMédioSimples</v>
      </c>
      <c r="B452" s="229" t="s">
        <v>229</v>
      </c>
      <c r="C452" s="229" t="s">
        <v>218</v>
      </c>
      <c r="D452" s="229" t="s">
        <v>25</v>
      </c>
      <c r="E452" s="229" t="s">
        <v>75</v>
      </c>
      <c r="F452" s="229" t="s">
        <v>26</v>
      </c>
      <c r="G452">
        <v>3</v>
      </c>
    </row>
    <row r="453" spans="1:7" hidden="1" x14ac:dyDescent="0.2">
      <c r="A453" t="str">
        <f t="shared" si="7"/>
        <v>CPEServicesRegraDroolsAMédioMédio</v>
      </c>
      <c r="B453" s="229" t="s">
        <v>229</v>
      </c>
      <c r="C453" s="229" t="s">
        <v>218</v>
      </c>
      <c r="D453" s="229" t="s">
        <v>25</v>
      </c>
      <c r="E453" s="229" t="s">
        <v>75</v>
      </c>
      <c r="F453" s="229" t="s">
        <v>75</v>
      </c>
      <c r="G453">
        <v>6</v>
      </c>
    </row>
    <row r="454" spans="1:7" hidden="1" x14ac:dyDescent="0.2">
      <c r="A454" t="str">
        <f t="shared" si="7"/>
        <v>CPEServicesRegraDroolsAMédioComplexo</v>
      </c>
      <c r="B454" s="229" t="s">
        <v>229</v>
      </c>
      <c r="C454" s="229" t="s">
        <v>218</v>
      </c>
      <c r="D454" s="229" t="s">
        <v>25</v>
      </c>
      <c r="E454" s="229" t="s">
        <v>75</v>
      </c>
      <c r="F454" s="229" t="s">
        <v>76</v>
      </c>
      <c r="G454">
        <v>8</v>
      </c>
    </row>
    <row r="455" spans="1:7" hidden="1" x14ac:dyDescent="0.2">
      <c r="A455" t="str">
        <f t="shared" si="7"/>
        <v>CPEServicesRegraDroolsAComplexoSimples</v>
      </c>
      <c r="B455" s="229" t="s">
        <v>229</v>
      </c>
      <c r="C455" s="229" t="s">
        <v>218</v>
      </c>
      <c r="D455" s="229" t="s">
        <v>25</v>
      </c>
      <c r="E455" s="229" t="s">
        <v>76</v>
      </c>
      <c r="F455" s="229" t="s">
        <v>26</v>
      </c>
      <c r="G455">
        <v>6</v>
      </c>
    </row>
    <row r="456" spans="1:7" hidden="1" x14ac:dyDescent="0.2">
      <c r="A456" t="str">
        <f t="shared" si="7"/>
        <v>CPEServicesRegraDroolsAComplexoMédio</v>
      </c>
      <c r="B456" s="229" t="s">
        <v>229</v>
      </c>
      <c r="C456" s="229" t="s">
        <v>218</v>
      </c>
      <c r="D456" s="229" t="s">
        <v>25</v>
      </c>
      <c r="E456" s="229" t="s">
        <v>76</v>
      </c>
      <c r="F456" s="229" t="s">
        <v>75</v>
      </c>
      <c r="G456">
        <v>8</v>
      </c>
    </row>
    <row r="457" spans="1:7" hidden="1" x14ac:dyDescent="0.2">
      <c r="A457" t="str">
        <f t="shared" si="7"/>
        <v>CPEServicesRegraDroolsAComplexoComplexo</v>
      </c>
      <c r="B457" s="229" t="s">
        <v>229</v>
      </c>
      <c r="C457" s="229" t="s">
        <v>218</v>
      </c>
      <c r="D457" s="229" t="s">
        <v>25</v>
      </c>
      <c r="E457" s="229" t="s">
        <v>76</v>
      </c>
      <c r="F457" s="229" t="s">
        <v>76</v>
      </c>
      <c r="G457">
        <v>12</v>
      </c>
    </row>
    <row r="458" spans="1:7" hidden="1" x14ac:dyDescent="0.2">
      <c r="A458" t="str">
        <f t="shared" si="7"/>
        <v>CPEServicesJUnitNSimples</v>
      </c>
      <c r="B458" s="229" t="s">
        <v>229</v>
      </c>
      <c r="C458" s="229" t="s">
        <v>219</v>
      </c>
      <c r="D458" s="229" t="s">
        <v>24</v>
      </c>
      <c r="E458" s="229" t="s">
        <v>26</v>
      </c>
      <c r="F458" s="229"/>
      <c r="G458">
        <v>3</v>
      </c>
    </row>
    <row r="459" spans="1:7" hidden="1" x14ac:dyDescent="0.2">
      <c r="A459" t="str">
        <f t="shared" si="7"/>
        <v>CPEServicesJUnitNMédio</v>
      </c>
      <c r="B459" s="229" t="s">
        <v>229</v>
      </c>
      <c r="C459" s="229" t="s">
        <v>219</v>
      </c>
      <c r="D459" s="229" t="s">
        <v>24</v>
      </c>
      <c r="E459" s="229" t="s">
        <v>75</v>
      </c>
      <c r="F459" s="229"/>
      <c r="G459">
        <v>5</v>
      </c>
    </row>
    <row r="460" spans="1:7" hidden="1" x14ac:dyDescent="0.2">
      <c r="A460" t="str">
        <f t="shared" si="7"/>
        <v>CPEServicesJUnitNComplexo</v>
      </c>
      <c r="B460" s="229" t="s">
        <v>229</v>
      </c>
      <c r="C460" s="229" t="s">
        <v>219</v>
      </c>
      <c r="D460" s="229" t="s">
        <v>24</v>
      </c>
      <c r="E460" s="229" t="s">
        <v>76</v>
      </c>
      <c r="F460" s="229"/>
      <c r="G460">
        <v>9</v>
      </c>
    </row>
    <row r="461" spans="1:7" hidden="1" x14ac:dyDescent="0.2">
      <c r="A461" t="str">
        <f t="shared" si="7"/>
        <v>CPEServicesJUnitASimplesSimples</v>
      </c>
      <c r="B461" s="229" t="s">
        <v>229</v>
      </c>
      <c r="C461" s="229" t="s">
        <v>219</v>
      </c>
      <c r="D461" s="229" t="s">
        <v>25</v>
      </c>
      <c r="E461" s="229" t="s">
        <v>26</v>
      </c>
      <c r="F461" s="229" t="s">
        <v>26</v>
      </c>
      <c r="G461">
        <v>2</v>
      </c>
    </row>
    <row r="462" spans="1:7" hidden="1" x14ac:dyDescent="0.2">
      <c r="A462" t="str">
        <f t="shared" si="7"/>
        <v>CPEServicesJUnitASimplesMédio</v>
      </c>
      <c r="B462" s="229" t="s">
        <v>229</v>
      </c>
      <c r="C462" s="229" t="s">
        <v>219</v>
      </c>
      <c r="D462" s="229" t="s">
        <v>25</v>
      </c>
      <c r="E462" s="229" t="s">
        <v>26</v>
      </c>
      <c r="F462" s="229" t="s">
        <v>75</v>
      </c>
      <c r="G462">
        <v>4</v>
      </c>
    </row>
    <row r="463" spans="1:7" hidden="1" x14ac:dyDescent="0.2">
      <c r="A463" t="str">
        <f t="shared" si="7"/>
        <v>CPEServicesJUnitASimplesComplexo</v>
      </c>
      <c r="B463" s="229" t="s">
        <v>229</v>
      </c>
      <c r="C463" s="229" t="s">
        <v>219</v>
      </c>
      <c r="D463" s="229" t="s">
        <v>25</v>
      </c>
      <c r="E463" s="229" t="s">
        <v>26</v>
      </c>
      <c r="F463" s="229" t="s">
        <v>76</v>
      </c>
      <c r="G463">
        <v>5</v>
      </c>
    </row>
    <row r="464" spans="1:7" hidden="1" x14ac:dyDescent="0.2">
      <c r="A464" t="str">
        <f t="shared" si="7"/>
        <v>CPEServicesJUnitAMédioSimples</v>
      </c>
      <c r="B464" s="229" t="s">
        <v>229</v>
      </c>
      <c r="C464" s="229" t="s">
        <v>219</v>
      </c>
      <c r="D464" s="229" t="s">
        <v>25</v>
      </c>
      <c r="E464" s="229" t="s">
        <v>75</v>
      </c>
      <c r="F464" s="229" t="s">
        <v>26</v>
      </c>
      <c r="G464">
        <v>3</v>
      </c>
    </row>
    <row r="465" spans="1:7" hidden="1" x14ac:dyDescent="0.2">
      <c r="A465" t="str">
        <f t="shared" si="7"/>
        <v>CPEServicesJUnitAMédioMédio</v>
      </c>
      <c r="B465" s="229" t="s">
        <v>229</v>
      </c>
      <c r="C465" s="229" t="s">
        <v>219</v>
      </c>
      <c r="D465" s="229" t="s">
        <v>25</v>
      </c>
      <c r="E465" s="229" t="s">
        <v>75</v>
      </c>
      <c r="F465" s="229" t="s">
        <v>75</v>
      </c>
      <c r="G465">
        <v>5</v>
      </c>
    </row>
    <row r="466" spans="1:7" hidden="1" x14ac:dyDescent="0.2">
      <c r="A466" t="str">
        <f t="shared" si="7"/>
        <v>CPEServicesJUnitAMédioComplexo</v>
      </c>
      <c r="B466" s="229" t="s">
        <v>229</v>
      </c>
      <c r="C466" s="229" t="s">
        <v>219</v>
      </c>
      <c r="D466" s="229" t="s">
        <v>25</v>
      </c>
      <c r="E466" s="229" t="s">
        <v>75</v>
      </c>
      <c r="F466" s="229" t="s">
        <v>76</v>
      </c>
      <c r="G466">
        <v>7</v>
      </c>
    </row>
    <row r="467" spans="1:7" hidden="1" x14ac:dyDescent="0.2">
      <c r="A467" t="str">
        <f t="shared" si="7"/>
        <v>CPEServicesJUnitAComplexoSimples</v>
      </c>
      <c r="B467" s="229" t="s">
        <v>229</v>
      </c>
      <c r="C467" s="229" t="s">
        <v>219</v>
      </c>
      <c r="D467" s="229" t="s">
        <v>25</v>
      </c>
      <c r="E467" s="229" t="s">
        <v>76</v>
      </c>
      <c r="F467" s="229" t="s">
        <v>26</v>
      </c>
      <c r="G467">
        <v>4</v>
      </c>
    </row>
    <row r="468" spans="1:7" hidden="1" x14ac:dyDescent="0.2">
      <c r="A468" t="str">
        <f t="shared" si="7"/>
        <v>CPEServicesJUnitAComplexoMédio</v>
      </c>
      <c r="B468" s="229" t="s">
        <v>229</v>
      </c>
      <c r="C468" s="229" t="s">
        <v>219</v>
      </c>
      <c r="D468" s="229" t="s">
        <v>25</v>
      </c>
      <c r="E468" s="229" t="s">
        <v>76</v>
      </c>
      <c r="F468" s="229" t="s">
        <v>75</v>
      </c>
      <c r="G468">
        <v>6</v>
      </c>
    </row>
    <row r="469" spans="1:7" hidden="1" x14ac:dyDescent="0.2">
      <c r="A469" t="str">
        <f t="shared" si="7"/>
        <v>CPEServicesJUnitAComplexoComplexo</v>
      </c>
      <c r="B469" s="229" t="s">
        <v>229</v>
      </c>
      <c r="C469" s="229" t="s">
        <v>219</v>
      </c>
      <c r="D469" s="229" t="s">
        <v>25</v>
      </c>
      <c r="E469" s="229" t="s">
        <v>76</v>
      </c>
      <c r="F469" s="229" t="s">
        <v>76</v>
      </c>
      <c r="G469">
        <v>8</v>
      </c>
    </row>
    <row r="470" spans="1:7" hidden="1" x14ac:dyDescent="0.2">
      <c r="A470" t="str">
        <f t="shared" si="7"/>
        <v>CPEServicesBanco de Dados (DML, DDL)NSimples</v>
      </c>
      <c r="B470" s="229" t="s">
        <v>229</v>
      </c>
      <c r="C470" s="229" t="s">
        <v>220</v>
      </c>
      <c r="D470" s="229" t="s">
        <v>24</v>
      </c>
      <c r="E470" s="229" t="s">
        <v>26</v>
      </c>
      <c r="F470" s="229"/>
      <c r="G470">
        <v>1</v>
      </c>
    </row>
    <row r="471" spans="1:7" hidden="1" x14ac:dyDescent="0.2">
      <c r="A471" t="str">
        <f t="shared" si="7"/>
        <v>CPEServicesBanco de Dados (DML, DDL)NMédio</v>
      </c>
      <c r="B471" s="229" t="s">
        <v>229</v>
      </c>
      <c r="C471" s="229" t="s">
        <v>220</v>
      </c>
      <c r="D471" s="229" t="s">
        <v>24</v>
      </c>
      <c r="E471" s="229" t="s">
        <v>75</v>
      </c>
      <c r="F471" s="229"/>
      <c r="G471">
        <v>3</v>
      </c>
    </row>
    <row r="472" spans="1:7" hidden="1" x14ac:dyDescent="0.2">
      <c r="A472" t="str">
        <f t="shared" si="7"/>
        <v>CPEServicesBanco de Dados (DML, DDL)NComplexo</v>
      </c>
      <c r="B472" s="229" t="s">
        <v>229</v>
      </c>
      <c r="C472" s="229" t="s">
        <v>220</v>
      </c>
      <c r="D472" s="229" t="s">
        <v>24</v>
      </c>
      <c r="E472" s="229" t="s">
        <v>76</v>
      </c>
      <c r="F472" s="229"/>
      <c r="G472">
        <v>5</v>
      </c>
    </row>
    <row r="473" spans="1:7" hidden="1" x14ac:dyDescent="0.2">
      <c r="A473" t="str">
        <f t="shared" si="7"/>
        <v>CPEServicesBanco de Dados (DML, DDL)ASimplesSimples</v>
      </c>
      <c r="B473" s="229" t="s">
        <v>229</v>
      </c>
      <c r="C473" s="229" t="s">
        <v>220</v>
      </c>
      <c r="D473" s="229" t="s">
        <v>25</v>
      </c>
      <c r="E473" s="229" t="s">
        <v>26</v>
      </c>
      <c r="F473" s="229" t="s">
        <v>26</v>
      </c>
      <c r="G473">
        <v>1</v>
      </c>
    </row>
    <row r="474" spans="1:7" hidden="1" x14ac:dyDescent="0.2">
      <c r="A474" t="str">
        <f t="shared" si="7"/>
        <v>CPEServicesBanco de Dados (DML, DDL)ASimplesMédio</v>
      </c>
      <c r="B474" s="229" t="s">
        <v>229</v>
      </c>
      <c r="C474" s="229" t="s">
        <v>220</v>
      </c>
      <c r="D474" s="229" t="s">
        <v>25</v>
      </c>
      <c r="E474" s="229" t="s">
        <v>26</v>
      </c>
      <c r="F474" s="229" t="s">
        <v>75</v>
      </c>
      <c r="G474">
        <v>3</v>
      </c>
    </row>
    <row r="475" spans="1:7" hidden="1" x14ac:dyDescent="0.2">
      <c r="A475" t="str">
        <f t="shared" si="7"/>
        <v>CPEServicesBanco de Dados (DML, DDL)ASimplesComplexo</v>
      </c>
      <c r="B475" s="229" t="s">
        <v>229</v>
      </c>
      <c r="C475" s="229" t="s">
        <v>220</v>
      </c>
      <c r="D475" s="229" t="s">
        <v>25</v>
      </c>
      <c r="E475" s="229" t="s">
        <v>26</v>
      </c>
      <c r="F475" s="229" t="s">
        <v>76</v>
      </c>
      <c r="G475">
        <v>5</v>
      </c>
    </row>
    <row r="476" spans="1:7" hidden="1" x14ac:dyDescent="0.2">
      <c r="A476" t="str">
        <f t="shared" si="7"/>
        <v>CPEServicesBanco de Dados (DML, DDL)AMédioSimples</v>
      </c>
      <c r="B476" s="229" t="s">
        <v>229</v>
      </c>
      <c r="C476" s="229" t="s">
        <v>220</v>
      </c>
      <c r="D476" s="229" t="s">
        <v>25</v>
      </c>
      <c r="E476" s="229" t="s">
        <v>75</v>
      </c>
      <c r="F476" s="229" t="s">
        <v>26</v>
      </c>
      <c r="G476">
        <v>3</v>
      </c>
    </row>
    <row r="477" spans="1:7" hidden="1" x14ac:dyDescent="0.2">
      <c r="A477" t="str">
        <f t="shared" si="7"/>
        <v>CPEServicesBanco de Dados (DML, DDL)AMédioMédio</v>
      </c>
      <c r="B477" s="229" t="s">
        <v>229</v>
      </c>
      <c r="C477" s="229" t="s">
        <v>220</v>
      </c>
      <c r="D477" s="229" t="s">
        <v>25</v>
      </c>
      <c r="E477" s="229" t="s">
        <v>75</v>
      </c>
      <c r="F477" s="229" t="s">
        <v>75</v>
      </c>
      <c r="G477">
        <v>6</v>
      </c>
    </row>
    <row r="478" spans="1:7" hidden="1" x14ac:dyDescent="0.2">
      <c r="A478" t="str">
        <f t="shared" si="7"/>
        <v>CPEServicesBanco de Dados (DML, DDL)AMédioComplexo</v>
      </c>
      <c r="B478" s="229" t="s">
        <v>229</v>
      </c>
      <c r="C478" s="229" t="s">
        <v>220</v>
      </c>
      <c r="D478" s="229" t="s">
        <v>25</v>
      </c>
      <c r="E478" s="229" t="s">
        <v>75</v>
      </c>
      <c r="F478" s="229" t="s">
        <v>76</v>
      </c>
      <c r="G478">
        <v>8</v>
      </c>
    </row>
    <row r="479" spans="1:7" hidden="1" x14ac:dyDescent="0.2">
      <c r="A479" t="str">
        <f t="shared" si="7"/>
        <v>CPEServicesBanco de Dados (DML, DDL)AComplexoSimples</v>
      </c>
      <c r="B479" s="229" t="s">
        <v>229</v>
      </c>
      <c r="C479" s="229" t="s">
        <v>220</v>
      </c>
      <c r="D479" s="229" t="s">
        <v>25</v>
      </c>
      <c r="E479" s="229" t="s">
        <v>76</v>
      </c>
      <c r="F479" s="229" t="s">
        <v>26</v>
      </c>
      <c r="G479">
        <v>5</v>
      </c>
    </row>
    <row r="480" spans="1:7" hidden="1" x14ac:dyDescent="0.2">
      <c r="A480" t="str">
        <f t="shared" si="7"/>
        <v>CPEServicesBanco de Dados (DML, DDL)AComplexoMédio</v>
      </c>
      <c r="B480" s="229" t="s">
        <v>229</v>
      </c>
      <c r="C480" s="229" t="s">
        <v>220</v>
      </c>
      <c r="D480" s="229" t="s">
        <v>25</v>
      </c>
      <c r="E480" s="229" t="s">
        <v>76</v>
      </c>
      <c r="F480" s="229" t="s">
        <v>75</v>
      </c>
      <c r="G480">
        <v>8</v>
      </c>
    </row>
    <row r="481" spans="1:7" hidden="1" x14ac:dyDescent="0.2">
      <c r="A481" t="str">
        <f t="shared" si="7"/>
        <v>CPEServicesBanco de Dados (DML, DDL)AComplexoComplexo</v>
      </c>
      <c r="B481" s="229" t="s">
        <v>229</v>
      </c>
      <c r="C481" s="229" t="s">
        <v>220</v>
      </c>
      <c r="D481" s="229" t="s">
        <v>25</v>
      </c>
      <c r="E481" s="229" t="s">
        <v>76</v>
      </c>
      <c r="F481" s="229" t="s">
        <v>76</v>
      </c>
      <c r="G481">
        <v>10</v>
      </c>
    </row>
    <row r="482" spans="1:7" hidden="1" x14ac:dyDescent="0.2">
      <c r="A482" t="str">
        <f t="shared" si="7"/>
        <v>CPEServicesBanco de Dados (PL/SQL)NSimples</v>
      </c>
      <c r="B482" s="229" t="s">
        <v>229</v>
      </c>
      <c r="C482" s="229" t="s">
        <v>203</v>
      </c>
      <c r="D482" s="229" t="s">
        <v>24</v>
      </c>
      <c r="E482" s="229" t="s">
        <v>26</v>
      </c>
      <c r="F482" s="229"/>
      <c r="G482">
        <v>4</v>
      </c>
    </row>
    <row r="483" spans="1:7" hidden="1" x14ac:dyDescent="0.2">
      <c r="A483" t="str">
        <f t="shared" si="7"/>
        <v>CPEServicesBanco de Dados (PL/SQL)NMédio</v>
      </c>
      <c r="B483" s="229" t="s">
        <v>229</v>
      </c>
      <c r="C483" s="229" t="s">
        <v>203</v>
      </c>
      <c r="D483" s="229" t="s">
        <v>24</v>
      </c>
      <c r="E483" s="229" t="s">
        <v>75</v>
      </c>
      <c r="F483" s="229"/>
      <c r="G483">
        <v>8</v>
      </c>
    </row>
    <row r="484" spans="1:7" hidden="1" x14ac:dyDescent="0.2">
      <c r="A484" t="str">
        <f t="shared" si="7"/>
        <v>CPEServicesBanco de Dados (PL/SQL)NComplexo</v>
      </c>
      <c r="B484" s="229" t="s">
        <v>229</v>
      </c>
      <c r="C484" s="229" t="s">
        <v>203</v>
      </c>
      <c r="D484" s="229" t="s">
        <v>24</v>
      </c>
      <c r="E484" s="229" t="s">
        <v>76</v>
      </c>
      <c r="F484" s="229"/>
      <c r="G484">
        <v>12</v>
      </c>
    </row>
    <row r="485" spans="1:7" hidden="1" x14ac:dyDescent="0.2">
      <c r="A485" t="str">
        <f t="shared" si="7"/>
        <v>CPEServicesBanco de Dados (PL/SQL)ASimplesSimples</v>
      </c>
      <c r="B485" s="229" t="s">
        <v>229</v>
      </c>
      <c r="C485" s="229" t="s">
        <v>203</v>
      </c>
      <c r="D485" s="229" t="s">
        <v>25</v>
      </c>
      <c r="E485" s="229" t="s">
        <v>26</v>
      </c>
      <c r="F485" s="229" t="s">
        <v>26</v>
      </c>
      <c r="G485">
        <v>2</v>
      </c>
    </row>
    <row r="486" spans="1:7" hidden="1" x14ac:dyDescent="0.2">
      <c r="A486" t="str">
        <f t="shared" si="7"/>
        <v>CPEServicesBanco de Dados (PL/SQL)ASimplesMédio</v>
      </c>
      <c r="B486" s="229" t="s">
        <v>229</v>
      </c>
      <c r="C486" s="229" t="s">
        <v>203</v>
      </c>
      <c r="D486" s="229" t="s">
        <v>25</v>
      </c>
      <c r="E486" s="229" t="s">
        <v>26</v>
      </c>
      <c r="F486" s="229" t="s">
        <v>75</v>
      </c>
      <c r="G486">
        <v>4</v>
      </c>
    </row>
    <row r="487" spans="1:7" hidden="1" x14ac:dyDescent="0.2">
      <c r="A487" t="str">
        <f t="shared" si="7"/>
        <v>CPEServicesBanco de Dados (PL/SQL)ASimplesComplexo</v>
      </c>
      <c r="B487" s="229" t="s">
        <v>229</v>
      </c>
      <c r="C487" s="229" t="s">
        <v>203</v>
      </c>
      <c r="D487" s="229" t="s">
        <v>25</v>
      </c>
      <c r="E487" s="229" t="s">
        <v>26</v>
      </c>
      <c r="F487" s="229" t="s">
        <v>76</v>
      </c>
      <c r="G487">
        <v>6</v>
      </c>
    </row>
    <row r="488" spans="1:7" hidden="1" x14ac:dyDescent="0.2">
      <c r="A488" t="str">
        <f t="shared" si="7"/>
        <v>CPEServicesBanco de Dados (PL/SQL)AMédioSimples</v>
      </c>
      <c r="B488" s="229" t="s">
        <v>229</v>
      </c>
      <c r="C488" s="229" t="s">
        <v>203</v>
      </c>
      <c r="D488" s="229" t="s">
        <v>25</v>
      </c>
      <c r="E488" s="229" t="s">
        <v>75</v>
      </c>
      <c r="F488" s="229" t="s">
        <v>26</v>
      </c>
      <c r="G488">
        <v>4</v>
      </c>
    </row>
    <row r="489" spans="1:7" hidden="1" x14ac:dyDescent="0.2">
      <c r="A489" t="str">
        <f t="shared" si="7"/>
        <v>CPEServicesBanco de Dados (PL/SQL)AMédioMédio</v>
      </c>
      <c r="B489" s="229" t="s">
        <v>229</v>
      </c>
      <c r="C489" s="229" t="s">
        <v>203</v>
      </c>
      <c r="D489" s="229" t="s">
        <v>25</v>
      </c>
      <c r="E489" s="229" t="s">
        <v>75</v>
      </c>
      <c r="F489" s="229" t="s">
        <v>75</v>
      </c>
      <c r="G489">
        <v>6</v>
      </c>
    </row>
    <row r="490" spans="1:7" hidden="1" x14ac:dyDescent="0.2">
      <c r="A490" t="str">
        <f t="shared" si="7"/>
        <v>CPEServicesBanco de Dados (PL/SQL)AMédioComplexo</v>
      </c>
      <c r="B490" s="229" t="s">
        <v>229</v>
      </c>
      <c r="C490" s="229" t="s">
        <v>203</v>
      </c>
      <c r="D490" s="229" t="s">
        <v>25</v>
      </c>
      <c r="E490" s="229" t="s">
        <v>75</v>
      </c>
      <c r="F490" s="229" t="s">
        <v>76</v>
      </c>
      <c r="G490">
        <v>9</v>
      </c>
    </row>
    <row r="491" spans="1:7" hidden="1" x14ac:dyDescent="0.2">
      <c r="A491" t="str">
        <f t="shared" si="7"/>
        <v>CPEServicesBanco de Dados (PL/SQL)AComplexoSimples</v>
      </c>
      <c r="B491" s="229" t="s">
        <v>229</v>
      </c>
      <c r="C491" s="229" t="s">
        <v>203</v>
      </c>
      <c r="D491" s="229" t="s">
        <v>25</v>
      </c>
      <c r="E491" s="229" t="s">
        <v>76</v>
      </c>
      <c r="F491" s="229" t="s">
        <v>26</v>
      </c>
      <c r="G491">
        <v>7</v>
      </c>
    </row>
    <row r="492" spans="1:7" hidden="1" x14ac:dyDescent="0.2">
      <c r="A492" t="str">
        <f t="shared" si="7"/>
        <v>CPEServicesBanco de Dados (PL/SQL)AComplexoMédio</v>
      </c>
      <c r="B492" s="229" t="s">
        <v>229</v>
      </c>
      <c r="C492" s="229" t="s">
        <v>203</v>
      </c>
      <c r="D492" s="229" t="s">
        <v>25</v>
      </c>
      <c r="E492" s="229" t="s">
        <v>76</v>
      </c>
      <c r="F492" s="229" t="s">
        <v>75</v>
      </c>
      <c r="G492">
        <v>9</v>
      </c>
    </row>
    <row r="493" spans="1:7" hidden="1" x14ac:dyDescent="0.2">
      <c r="A493" t="str">
        <f t="shared" si="7"/>
        <v>CPEServicesBanco de Dados (PL/SQL)AComplexoComplexo</v>
      </c>
      <c r="B493" s="229" t="s">
        <v>229</v>
      </c>
      <c r="C493" s="229" t="s">
        <v>203</v>
      </c>
      <c r="D493" s="229" t="s">
        <v>25</v>
      </c>
      <c r="E493" s="229" t="s">
        <v>76</v>
      </c>
      <c r="F493" s="229" t="s">
        <v>76</v>
      </c>
      <c r="G493">
        <v>12</v>
      </c>
    </row>
    <row r="494" spans="1:7" hidden="1" x14ac:dyDescent="0.2">
      <c r="A494" t="str">
        <f t="shared" si="7"/>
        <v>CPEServicesJAVA: Interface WebServiceNSimples</v>
      </c>
      <c r="B494" s="229" t="s">
        <v>229</v>
      </c>
      <c r="C494" s="229" t="s">
        <v>204</v>
      </c>
      <c r="D494" s="229" t="s">
        <v>24</v>
      </c>
      <c r="E494" s="229" t="s">
        <v>26</v>
      </c>
      <c r="F494" s="229"/>
      <c r="G494">
        <v>3</v>
      </c>
    </row>
    <row r="495" spans="1:7" hidden="1" x14ac:dyDescent="0.2">
      <c r="A495" t="str">
        <f t="shared" si="7"/>
        <v>CPEServicesJAVA: Interface WebServiceNMédio</v>
      </c>
      <c r="B495" s="229" t="s">
        <v>229</v>
      </c>
      <c r="C495" s="229" t="s">
        <v>204</v>
      </c>
      <c r="D495" s="229" t="s">
        <v>24</v>
      </c>
      <c r="E495" s="229" t="s">
        <v>75</v>
      </c>
      <c r="F495" s="229"/>
      <c r="G495">
        <v>5</v>
      </c>
    </row>
    <row r="496" spans="1:7" hidden="1" x14ac:dyDescent="0.2">
      <c r="A496" t="str">
        <f t="shared" si="7"/>
        <v>CPEServicesJAVA: Interface WebServiceNComplexo</v>
      </c>
      <c r="B496" s="229" t="s">
        <v>229</v>
      </c>
      <c r="C496" s="229" t="s">
        <v>204</v>
      </c>
      <c r="D496" s="229" t="s">
        <v>24</v>
      </c>
      <c r="E496" s="229" t="s">
        <v>76</v>
      </c>
      <c r="F496" s="229"/>
      <c r="G496">
        <v>8</v>
      </c>
    </row>
    <row r="497" spans="1:7" hidden="1" x14ac:dyDescent="0.2">
      <c r="A497" t="str">
        <f t="shared" si="7"/>
        <v>CPEServicesJAVA: Interface WebServiceASimplesSimples</v>
      </c>
      <c r="B497" s="229" t="s">
        <v>229</v>
      </c>
      <c r="C497" s="229" t="s">
        <v>204</v>
      </c>
      <c r="D497" s="229" t="s">
        <v>25</v>
      </c>
      <c r="E497" s="229" t="s">
        <v>26</v>
      </c>
      <c r="F497" s="229" t="s">
        <v>26</v>
      </c>
      <c r="G497">
        <v>2</v>
      </c>
    </row>
    <row r="498" spans="1:7" hidden="1" x14ac:dyDescent="0.2">
      <c r="A498" t="str">
        <f t="shared" si="7"/>
        <v>CPEServicesJAVA: Interface WebServiceASimplesMédio</v>
      </c>
      <c r="B498" s="229" t="s">
        <v>229</v>
      </c>
      <c r="C498" s="229" t="s">
        <v>204</v>
      </c>
      <c r="D498" s="229" t="s">
        <v>25</v>
      </c>
      <c r="E498" s="229" t="s">
        <v>26</v>
      </c>
      <c r="F498" s="229" t="s">
        <v>75</v>
      </c>
      <c r="G498">
        <v>3</v>
      </c>
    </row>
    <row r="499" spans="1:7" hidden="1" x14ac:dyDescent="0.2">
      <c r="A499" t="str">
        <f t="shared" si="7"/>
        <v>CPEServicesJAVA: Interface WebServiceASimplesComplexo</v>
      </c>
      <c r="B499" s="229" t="s">
        <v>229</v>
      </c>
      <c r="C499" s="229" t="s">
        <v>204</v>
      </c>
      <c r="D499" s="229" t="s">
        <v>25</v>
      </c>
      <c r="E499" s="229" t="s">
        <v>26</v>
      </c>
      <c r="F499" s="229" t="s">
        <v>76</v>
      </c>
      <c r="G499">
        <v>4</v>
      </c>
    </row>
    <row r="500" spans="1:7" hidden="1" x14ac:dyDescent="0.2">
      <c r="A500" t="str">
        <f t="shared" si="7"/>
        <v>CPEServicesJAVA: Interface WebServiceAMédioSimples</v>
      </c>
      <c r="B500" s="229" t="s">
        <v>229</v>
      </c>
      <c r="C500" s="229" t="s">
        <v>204</v>
      </c>
      <c r="D500" s="229" t="s">
        <v>25</v>
      </c>
      <c r="E500" s="229" t="s">
        <v>75</v>
      </c>
      <c r="F500" s="229" t="s">
        <v>26</v>
      </c>
      <c r="G500">
        <v>2</v>
      </c>
    </row>
    <row r="501" spans="1:7" hidden="1" x14ac:dyDescent="0.2">
      <c r="A501" t="str">
        <f t="shared" si="7"/>
        <v>CPEServicesJAVA: Interface WebServiceAMédioMédio</v>
      </c>
      <c r="B501" s="229" t="s">
        <v>229</v>
      </c>
      <c r="C501" s="229" t="s">
        <v>204</v>
      </c>
      <c r="D501" s="229" t="s">
        <v>25</v>
      </c>
      <c r="E501" s="229" t="s">
        <v>75</v>
      </c>
      <c r="F501" s="229" t="s">
        <v>75</v>
      </c>
      <c r="G501">
        <v>5</v>
      </c>
    </row>
    <row r="502" spans="1:7" hidden="1" x14ac:dyDescent="0.2">
      <c r="A502" t="str">
        <f t="shared" si="7"/>
        <v>CPEServicesJAVA: Interface WebServiceAMédioComplexo</v>
      </c>
      <c r="B502" s="229" t="s">
        <v>229</v>
      </c>
      <c r="C502" s="229" t="s">
        <v>204</v>
      </c>
      <c r="D502" s="229" t="s">
        <v>25</v>
      </c>
      <c r="E502" s="229" t="s">
        <v>75</v>
      </c>
      <c r="F502" s="229" t="s">
        <v>76</v>
      </c>
      <c r="G502">
        <v>8</v>
      </c>
    </row>
    <row r="503" spans="1:7" hidden="1" x14ac:dyDescent="0.2">
      <c r="A503" t="str">
        <f t="shared" si="7"/>
        <v>CPEServicesJAVA: Interface WebServiceAComplexoSimples</v>
      </c>
      <c r="B503" s="229" t="s">
        <v>229</v>
      </c>
      <c r="C503" s="229" t="s">
        <v>204</v>
      </c>
      <c r="D503" s="229" t="s">
        <v>25</v>
      </c>
      <c r="E503" s="229" t="s">
        <v>76</v>
      </c>
      <c r="F503" s="229" t="s">
        <v>26</v>
      </c>
      <c r="G503">
        <v>5</v>
      </c>
    </row>
    <row r="504" spans="1:7" hidden="1" x14ac:dyDescent="0.2">
      <c r="A504" t="str">
        <f t="shared" si="7"/>
        <v>CPEServicesJAVA: Interface WebServiceAComplexoMédio</v>
      </c>
      <c r="B504" s="229" t="s">
        <v>229</v>
      </c>
      <c r="C504" s="229" t="s">
        <v>204</v>
      </c>
      <c r="D504" s="229" t="s">
        <v>25</v>
      </c>
      <c r="E504" s="229" t="s">
        <v>76</v>
      </c>
      <c r="F504" s="229" t="s">
        <v>75</v>
      </c>
      <c r="G504">
        <v>7</v>
      </c>
    </row>
    <row r="505" spans="1:7" hidden="1" x14ac:dyDescent="0.2">
      <c r="A505" t="str">
        <f t="shared" si="7"/>
        <v>CPEServicesJAVA: Interface WebServiceAComplexoComplexo</v>
      </c>
      <c r="B505" s="229" t="s">
        <v>229</v>
      </c>
      <c r="C505" s="229" t="s">
        <v>204</v>
      </c>
      <c r="D505" s="229" t="s">
        <v>25</v>
      </c>
      <c r="E505" s="229" t="s">
        <v>76</v>
      </c>
      <c r="F505" s="229" t="s">
        <v>76</v>
      </c>
      <c r="G505">
        <v>9</v>
      </c>
    </row>
    <row r="506" spans="1:7" hidden="1" x14ac:dyDescent="0.2">
      <c r="A506" t="str">
        <f t="shared" si="7"/>
        <v>CPEServicesJAVA: Transformação de ObjetosNSimples</v>
      </c>
      <c r="B506" s="229" t="s">
        <v>229</v>
      </c>
      <c r="C506" s="229" t="s">
        <v>205</v>
      </c>
      <c r="D506" s="229" t="s">
        <v>24</v>
      </c>
      <c r="E506" s="229" t="s">
        <v>26</v>
      </c>
      <c r="F506" s="229"/>
      <c r="G506">
        <v>1</v>
      </c>
    </row>
    <row r="507" spans="1:7" hidden="1" x14ac:dyDescent="0.2">
      <c r="A507" t="str">
        <f t="shared" si="7"/>
        <v>CPEServicesJAVA: Transformação de ObjetosNMédio</v>
      </c>
      <c r="B507" s="229" t="s">
        <v>229</v>
      </c>
      <c r="C507" s="229" t="s">
        <v>205</v>
      </c>
      <c r="D507" s="229" t="s">
        <v>24</v>
      </c>
      <c r="E507" s="229" t="s">
        <v>75</v>
      </c>
      <c r="F507" s="229"/>
      <c r="G507">
        <v>3</v>
      </c>
    </row>
    <row r="508" spans="1:7" hidden="1" x14ac:dyDescent="0.2">
      <c r="A508" t="str">
        <f t="shared" si="7"/>
        <v>CPEServicesJAVA: Transformação de ObjetosNComplexo</v>
      </c>
      <c r="B508" s="229" t="s">
        <v>229</v>
      </c>
      <c r="C508" s="229" t="s">
        <v>205</v>
      </c>
      <c r="D508" s="229" t="s">
        <v>24</v>
      </c>
      <c r="E508" s="229" t="s">
        <v>76</v>
      </c>
      <c r="F508" s="229"/>
      <c r="G508">
        <v>5</v>
      </c>
    </row>
    <row r="509" spans="1:7" hidden="1" x14ac:dyDescent="0.2">
      <c r="A509" t="str">
        <f t="shared" si="7"/>
        <v>CPEServicesJAVA: Transformação de ObjetosASimplesSimples</v>
      </c>
      <c r="B509" s="229" t="s">
        <v>229</v>
      </c>
      <c r="C509" s="229" t="s">
        <v>205</v>
      </c>
      <c r="D509" s="229" t="s">
        <v>25</v>
      </c>
      <c r="E509" s="229" t="s">
        <v>26</v>
      </c>
      <c r="F509" s="229" t="s">
        <v>26</v>
      </c>
      <c r="G509">
        <v>1</v>
      </c>
    </row>
    <row r="510" spans="1:7" hidden="1" x14ac:dyDescent="0.2">
      <c r="A510" t="str">
        <f t="shared" si="7"/>
        <v>CPEServicesJAVA: Transformação de ObjetosASimplesMédio</v>
      </c>
      <c r="B510" s="229" t="s">
        <v>229</v>
      </c>
      <c r="C510" s="229" t="s">
        <v>205</v>
      </c>
      <c r="D510" s="229" t="s">
        <v>25</v>
      </c>
      <c r="E510" s="229" t="s">
        <v>26</v>
      </c>
      <c r="F510" s="229" t="s">
        <v>75</v>
      </c>
      <c r="G510">
        <v>2</v>
      </c>
    </row>
    <row r="511" spans="1:7" hidden="1" x14ac:dyDescent="0.2">
      <c r="A511" t="str">
        <f t="shared" si="7"/>
        <v>CPEServicesJAVA: Transformação de ObjetosASimplesComplexo</v>
      </c>
      <c r="B511" s="229" t="s">
        <v>229</v>
      </c>
      <c r="C511" s="229" t="s">
        <v>205</v>
      </c>
      <c r="D511" s="229" t="s">
        <v>25</v>
      </c>
      <c r="E511" s="229" t="s">
        <v>26</v>
      </c>
      <c r="F511" s="229" t="s">
        <v>76</v>
      </c>
      <c r="G511">
        <v>4</v>
      </c>
    </row>
    <row r="512" spans="1:7" hidden="1" x14ac:dyDescent="0.2">
      <c r="A512" t="str">
        <f t="shared" si="7"/>
        <v>CPEServicesJAVA: Transformação de ObjetosAMédioSimples</v>
      </c>
      <c r="B512" s="229" t="s">
        <v>229</v>
      </c>
      <c r="C512" s="229" t="s">
        <v>205</v>
      </c>
      <c r="D512" s="229" t="s">
        <v>25</v>
      </c>
      <c r="E512" s="229" t="s">
        <v>75</v>
      </c>
      <c r="F512" s="229" t="s">
        <v>26</v>
      </c>
      <c r="G512">
        <v>3</v>
      </c>
    </row>
    <row r="513" spans="1:7" hidden="1" x14ac:dyDescent="0.2">
      <c r="A513" t="str">
        <f t="shared" si="7"/>
        <v>CPEServicesJAVA: Transformação de ObjetosAMédioMédio</v>
      </c>
      <c r="B513" s="229" t="s">
        <v>229</v>
      </c>
      <c r="C513" s="229" t="s">
        <v>205</v>
      </c>
      <c r="D513" s="229" t="s">
        <v>25</v>
      </c>
      <c r="E513" s="229" t="s">
        <v>75</v>
      </c>
      <c r="F513" s="229" t="s">
        <v>75</v>
      </c>
      <c r="G513">
        <v>5</v>
      </c>
    </row>
    <row r="514" spans="1:7" hidden="1" x14ac:dyDescent="0.2">
      <c r="A514" t="str">
        <f t="shared" si="7"/>
        <v>CPEServicesJAVA: Transformação de ObjetosAMédioComplexo</v>
      </c>
      <c r="B514" s="229" t="s">
        <v>229</v>
      </c>
      <c r="C514" s="229" t="s">
        <v>205</v>
      </c>
      <c r="D514" s="229" t="s">
        <v>25</v>
      </c>
      <c r="E514" s="229" t="s">
        <v>75</v>
      </c>
      <c r="F514" s="229" t="s">
        <v>76</v>
      </c>
      <c r="G514">
        <v>6</v>
      </c>
    </row>
    <row r="515" spans="1:7" hidden="1" x14ac:dyDescent="0.2">
      <c r="A515" t="str">
        <f t="shared" ref="A515:A578" si="8">B515&amp;C515&amp;D515&amp;E515&amp;F515</f>
        <v>CPEServicesJAVA: Transformação de ObjetosAComplexoSimples</v>
      </c>
      <c r="B515" s="229" t="s">
        <v>229</v>
      </c>
      <c r="C515" s="229" t="s">
        <v>205</v>
      </c>
      <c r="D515" s="229" t="s">
        <v>25</v>
      </c>
      <c r="E515" s="229" t="s">
        <v>76</v>
      </c>
      <c r="F515" s="229" t="s">
        <v>26</v>
      </c>
      <c r="G515">
        <v>4</v>
      </c>
    </row>
    <row r="516" spans="1:7" hidden="1" x14ac:dyDescent="0.2">
      <c r="A516" t="str">
        <f t="shared" si="8"/>
        <v>CPEServicesJAVA: Transformação de ObjetosAComplexoMédio</v>
      </c>
      <c r="B516" s="229" t="s">
        <v>229</v>
      </c>
      <c r="C516" s="229" t="s">
        <v>205</v>
      </c>
      <c r="D516" s="229" t="s">
        <v>25</v>
      </c>
      <c r="E516" s="229" t="s">
        <v>76</v>
      </c>
      <c r="F516" s="229" t="s">
        <v>75</v>
      </c>
      <c r="G516">
        <v>6</v>
      </c>
    </row>
    <row r="517" spans="1:7" hidden="1" x14ac:dyDescent="0.2">
      <c r="A517" t="str">
        <f t="shared" si="8"/>
        <v>CPEServicesJAVA: Transformação de ObjetosAComplexoComplexo</v>
      </c>
      <c r="B517" s="229" t="s">
        <v>229</v>
      </c>
      <c r="C517" s="229" t="s">
        <v>205</v>
      </c>
      <c r="D517" s="229" t="s">
        <v>25</v>
      </c>
      <c r="E517" s="229" t="s">
        <v>76</v>
      </c>
      <c r="F517" s="229" t="s">
        <v>76</v>
      </c>
      <c r="G517">
        <v>8</v>
      </c>
    </row>
    <row r="518" spans="1:7" hidden="1" x14ac:dyDescent="0.2">
      <c r="A518" t="str">
        <f t="shared" si="8"/>
        <v>CPEServicesJAVA: Métodos de Negócio (Controller)NSimples</v>
      </c>
      <c r="B518" s="229" t="s">
        <v>229</v>
      </c>
      <c r="C518" s="229" t="s">
        <v>206</v>
      </c>
      <c r="D518" s="229" t="s">
        <v>24</v>
      </c>
      <c r="E518" s="229" t="s">
        <v>26</v>
      </c>
      <c r="F518" s="229"/>
      <c r="G518">
        <v>8</v>
      </c>
    </row>
    <row r="519" spans="1:7" hidden="1" x14ac:dyDescent="0.2">
      <c r="A519" t="str">
        <f t="shared" si="8"/>
        <v>CPEServicesJAVA: Métodos de Negócio (Controller)NMédio</v>
      </c>
      <c r="B519" s="229" t="s">
        <v>229</v>
      </c>
      <c r="C519" s="229" t="s">
        <v>206</v>
      </c>
      <c r="D519" s="229" t="s">
        <v>24</v>
      </c>
      <c r="E519" s="229" t="s">
        <v>75</v>
      </c>
      <c r="F519" s="229"/>
      <c r="G519">
        <v>16</v>
      </c>
    </row>
    <row r="520" spans="1:7" hidden="1" x14ac:dyDescent="0.2">
      <c r="A520" t="str">
        <f t="shared" si="8"/>
        <v>CPEServicesJAVA: Métodos de Negócio (Controller)NComplexo</v>
      </c>
      <c r="B520" s="229" t="s">
        <v>229</v>
      </c>
      <c r="C520" s="229" t="s">
        <v>206</v>
      </c>
      <c r="D520" s="229" t="s">
        <v>24</v>
      </c>
      <c r="E520" s="229" t="s">
        <v>76</v>
      </c>
      <c r="F520" s="229"/>
      <c r="G520">
        <v>24</v>
      </c>
    </row>
    <row r="521" spans="1:7" hidden="1" x14ac:dyDescent="0.2">
      <c r="A521" t="str">
        <f t="shared" si="8"/>
        <v>CPEServicesJAVA: Métodos de Negócio (Controller)ASimplesSimples</v>
      </c>
      <c r="B521" s="229" t="s">
        <v>229</v>
      </c>
      <c r="C521" s="229" t="s">
        <v>206</v>
      </c>
      <c r="D521" s="229" t="s">
        <v>25</v>
      </c>
      <c r="E521" s="229" t="s">
        <v>26</v>
      </c>
      <c r="F521" s="229" t="s">
        <v>26</v>
      </c>
      <c r="G521">
        <v>3</v>
      </c>
    </row>
    <row r="522" spans="1:7" hidden="1" x14ac:dyDescent="0.2">
      <c r="A522" t="str">
        <f t="shared" si="8"/>
        <v>CPEServicesJAVA: Métodos de Negócio (Controller)ASimplesMédio</v>
      </c>
      <c r="B522" s="229" t="s">
        <v>229</v>
      </c>
      <c r="C522" s="229" t="s">
        <v>206</v>
      </c>
      <c r="D522" s="229" t="s">
        <v>25</v>
      </c>
      <c r="E522" s="229" t="s">
        <v>26</v>
      </c>
      <c r="F522" s="229" t="s">
        <v>75</v>
      </c>
      <c r="G522">
        <v>5</v>
      </c>
    </row>
    <row r="523" spans="1:7" hidden="1" x14ac:dyDescent="0.2">
      <c r="A523" t="str">
        <f t="shared" si="8"/>
        <v>CPEServicesJAVA: Métodos de Negócio (Controller)ASimplesComplexo</v>
      </c>
      <c r="B523" s="229" t="s">
        <v>229</v>
      </c>
      <c r="C523" s="229" t="s">
        <v>206</v>
      </c>
      <c r="D523" s="229" t="s">
        <v>25</v>
      </c>
      <c r="E523" s="229" t="s">
        <v>26</v>
      </c>
      <c r="F523" s="229" t="s">
        <v>76</v>
      </c>
      <c r="G523">
        <v>7</v>
      </c>
    </row>
    <row r="524" spans="1:7" hidden="1" x14ac:dyDescent="0.2">
      <c r="A524" t="str">
        <f t="shared" si="8"/>
        <v>CPEServicesJAVA: Métodos de Negócio (Controller)AMédioSimples</v>
      </c>
      <c r="B524" s="229" t="s">
        <v>229</v>
      </c>
      <c r="C524" s="229" t="s">
        <v>206</v>
      </c>
      <c r="D524" s="229" t="s">
        <v>25</v>
      </c>
      <c r="E524" s="229" t="s">
        <v>75</v>
      </c>
      <c r="F524" s="229" t="s">
        <v>26</v>
      </c>
      <c r="G524" s="229">
        <v>8</v>
      </c>
    </row>
    <row r="525" spans="1:7" hidden="1" x14ac:dyDescent="0.2">
      <c r="A525" t="str">
        <f t="shared" si="8"/>
        <v>CPEServicesJAVA: Métodos de Negócio (Controller)AMédioMédio</v>
      </c>
      <c r="B525" s="229" t="s">
        <v>229</v>
      </c>
      <c r="C525" s="229" t="s">
        <v>206</v>
      </c>
      <c r="D525" s="229" t="s">
        <v>25</v>
      </c>
      <c r="E525" s="229" t="s">
        <v>75</v>
      </c>
      <c r="F525" s="229" t="s">
        <v>75</v>
      </c>
      <c r="G525">
        <v>10</v>
      </c>
    </row>
    <row r="526" spans="1:7" hidden="1" x14ac:dyDescent="0.2">
      <c r="A526" t="str">
        <f t="shared" si="8"/>
        <v>CPEServicesJAVA: Métodos de Negócio (Controller)AMédioComplexo</v>
      </c>
      <c r="B526" s="229" t="s">
        <v>229</v>
      </c>
      <c r="C526" s="229" t="s">
        <v>206</v>
      </c>
      <c r="D526" s="229" t="s">
        <v>25</v>
      </c>
      <c r="E526" s="229" t="s">
        <v>75</v>
      </c>
      <c r="F526" s="229" t="s">
        <v>76</v>
      </c>
      <c r="G526">
        <v>14</v>
      </c>
    </row>
    <row r="527" spans="1:7" hidden="1" x14ac:dyDescent="0.2">
      <c r="A527" t="str">
        <f t="shared" si="8"/>
        <v>CPEServicesJAVA: Métodos de Negócio (Controller)AComplexoSimples</v>
      </c>
      <c r="B527" s="229" t="s">
        <v>229</v>
      </c>
      <c r="C527" s="229" t="s">
        <v>206</v>
      </c>
      <c r="D527" s="229" t="s">
        <v>25</v>
      </c>
      <c r="E527" s="229" t="s">
        <v>76</v>
      </c>
      <c r="F527" s="229" t="s">
        <v>26</v>
      </c>
      <c r="G527">
        <v>6</v>
      </c>
    </row>
    <row r="528" spans="1:7" hidden="1" x14ac:dyDescent="0.2">
      <c r="A528" t="str">
        <f t="shared" si="8"/>
        <v>CPEServicesJAVA: Métodos de Negócio (Controller)AComplexoMédio</v>
      </c>
      <c r="B528" s="229" t="s">
        <v>229</v>
      </c>
      <c r="C528" s="229" t="s">
        <v>206</v>
      </c>
      <c r="D528" s="229" t="s">
        <v>25</v>
      </c>
      <c r="E528" s="229" t="s">
        <v>76</v>
      </c>
      <c r="F528" s="229" t="s">
        <v>75</v>
      </c>
      <c r="G528">
        <v>10</v>
      </c>
    </row>
    <row r="529" spans="1:7" hidden="1" x14ac:dyDescent="0.2">
      <c r="A529" t="str">
        <f t="shared" si="8"/>
        <v>CPEServicesJAVA: Métodos de Negócio (Controller)AComplexoComplexo</v>
      </c>
      <c r="B529" s="229" t="s">
        <v>229</v>
      </c>
      <c r="C529" s="229" t="s">
        <v>206</v>
      </c>
      <c r="D529" s="229" t="s">
        <v>25</v>
      </c>
      <c r="E529" s="229" t="s">
        <v>76</v>
      </c>
      <c r="F529" s="229" t="s">
        <v>76</v>
      </c>
      <c r="G529">
        <v>16</v>
      </c>
    </row>
    <row r="530" spans="1:7" hidden="1" x14ac:dyDescent="0.2">
      <c r="A530" t="str">
        <f t="shared" si="8"/>
        <v>CPEServicesJAVA: EntityNSimples</v>
      </c>
      <c r="B530" s="229" t="s">
        <v>229</v>
      </c>
      <c r="C530" s="229" t="s">
        <v>207</v>
      </c>
      <c r="D530" s="229" t="s">
        <v>24</v>
      </c>
      <c r="E530" s="229" t="s">
        <v>26</v>
      </c>
      <c r="F530" s="229"/>
      <c r="G530">
        <v>1</v>
      </c>
    </row>
    <row r="531" spans="1:7" hidden="1" x14ac:dyDescent="0.2">
      <c r="A531" t="str">
        <f t="shared" si="8"/>
        <v>CPEServicesJAVA: EntityNMédio</v>
      </c>
      <c r="B531" s="229" t="s">
        <v>229</v>
      </c>
      <c r="C531" s="229" t="s">
        <v>207</v>
      </c>
      <c r="D531" s="229" t="s">
        <v>24</v>
      </c>
      <c r="E531" s="229" t="s">
        <v>75</v>
      </c>
      <c r="F531" s="229"/>
      <c r="G531">
        <v>2</v>
      </c>
    </row>
    <row r="532" spans="1:7" hidden="1" x14ac:dyDescent="0.2">
      <c r="A532" t="str">
        <f t="shared" si="8"/>
        <v>CPEServicesJAVA: EntityNComplexo</v>
      </c>
      <c r="B532" s="229" t="s">
        <v>229</v>
      </c>
      <c r="C532" s="229" t="s">
        <v>207</v>
      </c>
      <c r="D532" s="229" t="s">
        <v>24</v>
      </c>
      <c r="E532" s="229" t="s">
        <v>76</v>
      </c>
      <c r="F532" s="229"/>
      <c r="G532">
        <v>4</v>
      </c>
    </row>
    <row r="533" spans="1:7" hidden="1" x14ac:dyDescent="0.2">
      <c r="A533" t="str">
        <f t="shared" si="8"/>
        <v>CPEServicesJAVA: EntityASimplesSimples</v>
      </c>
      <c r="B533" s="229" t="s">
        <v>229</v>
      </c>
      <c r="C533" s="229" t="s">
        <v>207</v>
      </c>
      <c r="D533" s="229" t="s">
        <v>25</v>
      </c>
      <c r="E533" s="229" t="s">
        <v>26</v>
      </c>
      <c r="F533" s="229" t="s">
        <v>26</v>
      </c>
      <c r="G533">
        <v>1</v>
      </c>
    </row>
    <row r="534" spans="1:7" hidden="1" x14ac:dyDescent="0.2">
      <c r="A534" t="str">
        <f t="shared" si="8"/>
        <v>CPEServicesJAVA: EntityASimplesMédio</v>
      </c>
      <c r="B534" s="229" t="s">
        <v>229</v>
      </c>
      <c r="C534" s="229" t="s">
        <v>207</v>
      </c>
      <c r="D534" s="229" t="s">
        <v>25</v>
      </c>
      <c r="E534" s="229" t="s">
        <v>26</v>
      </c>
      <c r="F534" s="229" t="s">
        <v>75</v>
      </c>
      <c r="G534">
        <v>2</v>
      </c>
    </row>
    <row r="535" spans="1:7" hidden="1" x14ac:dyDescent="0.2">
      <c r="A535" t="str">
        <f t="shared" si="8"/>
        <v>CPEServicesJAVA: EntityASimplesComplexo</v>
      </c>
      <c r="B535" s="229" t="s">
        <v>229</v>
      </c>
      <c r="C535" s="229" t="s">
        <v>207</v>
      </c>
      <c r="D535" s="229" t="s">
        <v>25</v>
      </c>
      <c r="E535" s="229" t="s">
        <v>26</v>
      </c>
      <c r="F535" s="229" t="s">
        <v>76</v>
      </c>
      <c r="G535">
        <v>3</v>
      </c>
    </row>
    <row r="536" spans="1:7" hidden="1" x14ac:dyDescent="0.2">
      <c r="A536" t="str">
        <f t="shared" si="8"/>
        <v>CPEServicesJAVA: EntityAMédioSimples</v>
      </c>
      <c r="B536" s="229" t="s">
        <v>229</v>
      </c>
      <c r="C536" s="229" t="s">
        <v>207</v>
      </c>
      <c r="D536" s="229" t="s">
        <v>25</v>
      </c>
      <c r="E536" s="229" t="s">
        <v>75</v>
      </c>
      <c r="F536" s="229" t="s">
        <v>26</v>
      </c>
      <c r="G536">
        <v>2</v>
      </c>
    </row>
    <row r="537" spans="1:7" hidden="1" x14ac:dyDescent="0.2">
      <c r="A537" t="str">
        <f t="shared" si="8"/>
        <v>CPEServicesJAVA: EntityAMédioMédio</v>
      </c>
      <c r="B537" s="229" t="s">
        <v>229</v>
      </c>
      <c r="C537" s="229" t="s">
        <v>207</v>
      </c>
      <c r="D537" s="229" t="s">
        <v>25</v>
      </c>
      <c r="E537" s="229" t="s">
        <v>75</v>
      </c>
      <c r="F537" s="229" t="s">
        <v>75</v>
      </c>
      <c r="G537">
        <v>3</v>
      </c>
    </row>
    <row r="538" spans="1:7" hidden="1" x14ac:dyDescent="0.2">
      <c r="A538" t="str">
        <f t="shared" si="8"/>
        <v>CPEServicesJAVA: EntityAMédioComplexo</v>
      </c>
      <c r="B538" s="229" t="s">
        <v>229</v>
      </c>
      <c r="C538" s="229" t="s">
        <v>207</v>
      </c>
      <c r="D538" s="229" t="s">
        <v>25</v>
      </c>
      <c r="E538" s="229" t="s">
        <v>75</v>
      </c>
      <c r="F538" s="229" t="s">
        <v>76</v>
      </c>
      <c r="G538">
        <v>4</v>
      </c>
    </row>
    <row r="539" spans="1:7" hidden="1" x14ac:dyDescent="0.2">
      <c r="A539" t="str">
        <f t="shared" si="8"/>
        <v>CPEServicesJAVA: EntityAComplexoSimples</v>
      </c>
      <c r="B539" s="229" t="s">
        <v>229</v>
      </c>
      <c r="C539" s="229" t="s">
        <v>207</v>
      </c>
      <c r="D539" s="229" t="s">
        <v>25</v>
      </c>
      <c r="E539" s="229" t="s">
        <v>76</v>
      </c>
      <c r="F539" s="229" t="s">
        <v>26</v>
      </c>
      <c r="G539">
        <v>3</v>
      </c>
    </row>
    <row r="540" spans="1:7" hidden="1" x14ac:dyDescent="0.2">
      <c r="A540" t="str">
        <f t="shared" si="8"/>
        <v>CPEServicesJAVA: EntityAComplexoMédio</v>
      </c>
      <c r="B540" s="229" t="s">
        <v>229</v>
      </c>
      <c r="C540" s="229" t="s">
        <v>207</v>
      </c>
      <c r="D540" s="229" t="s">
        <v>25</v>
      </c>
      <c r="E540" s="229" t="s">
        <v>76</v>
      </c>
      <c r="F540" s="229" t="s">
        <v>75</v>
      </c>
      <c r="G540">
        <v>5</v>
      </c>
    </row>
    <row r="541" spans="1:7" hidden="1" x14ac:dyDescent="0.2">
      <c r="A541" t="str">
        <f t="shared" si="8"/>
        <v>CPEServicesJAVA: EntityAComplexoComplexo</v>
      </c>
      <c r="B541" s="229" t="s">
        <v>229</v>
      </c>
      <c r="C541" s="229" t="s">
        <v>207</v>
      </c>
      <c r="D541" s="229" t="s">
        <v>25</v>
      </c>
      <c r="E541" s="229" t="s">
        <v>76</v>
      </c>
      <c r="F541" s="229" t="s">
        <v>76</v>
      </c>
      <c r="G541">
        <v>8</v>
      </c>
    </row>
    <row r="542" spans="1:7" hidden="1" x14ac:dyDescent="0.2">
      <c r="A542" t="str">
        <f t="shared" si="8"/>
        <v>CPEServicesJAVA: Consulta Banco de DadosNSimples</v>
      </c>
      <c r="B542" s="229" t="s">
        <v>229</v>
      </c>
      <c r="C542" s="229" t="s">
        <v>208</v>
      </c>
      <c r="D542" s="229" t="s">
        <v>24</v>
      </c>
      <c r="E542" s="229" t="s">
        <v>26</v>
      </c>
      <c r="F542" s="229"/>
      <c r="G542">
        <v>2</v>
      </c>
    </row>
    <row r="543" spans="1:7" hidden="1" x14ac:dyDescent="0.2">
      <c r="A543" t="str">
        <f t="shared" si="8"/>
        <v>CPEServicesJAVA: Consulta Banco de DadosNMédio</v>
      </c>
      <c r="B543" s="229" t="s">
        <v>229</v>
      </c>
      <c r="C543" s="229" t="s">
        <v>208</v>
      </c>
      <c r="D543" s="229" t="s">
        <v>24</v>
      </c>
      <c r="E543" s="229" t="s">
        <v>75</v>
      </c>
      <c r="F543" s="229"/>
      <c r="G543">
        <v>5</v>
      </c>
    </row>
    <row r="544" spans="1:7" hidden="1" x14ac:dyDescent="0.2">
      <c r="A544" t="str">
        <f t="shared" si="8"/>
        <v>CPEServicesJAVA: Consulta Banco de DadosNComplexo</v>
      </c>
      <c r="B544" s="229" t="s">
        <v>229</v>
      </c>
      <c r="C544" s="229" t="s">
        <v>208</v>
      </c>
      <c r="D544" s="229" t="s">
        <v>24</v>
      </c>
      <c r="E544" s="229" t="s">
        <v>76</v>
      </c>
      <c r="F544" s="229"/>
      <c r="G544">
        <v>8</v>
      </c>
    </row>
    <row r="545" spans="1:7" hidden="1" x14ac:dyDescent="0.2">
      <c r="A545" t="str">
        <f t="shared" si="8"/>
        <v>CPEServicesJAVA: Consulta Banco de DadosASimplesSimples</v>
      </c>
      <c r="B545" s="229" t="s">
        <v>229</v>
      </c>
      <c r="C545" s="229" t="s">
        <v>208</v>
      </c>
      <c r="D545" s="229" t="s">
        <v>25</v>
      </c>
      <c r="E545" s="229" t="s">
        <v>26</v>
      </c>
      <c r="F545" s="229" t="s">
        <v>26</v>
      </c>
      <c r="G545">
        <v>2</v>
      </c>
    </row>
    <row r="546" spans="1:7" hidden="1" x14ac:dyDescent="0.2">
      <c r="A546" t="str">
        <f t="shared" si="8"/>
        <v>CPEServicesJAVA: Consulta Banco de DadosASimplesMédio</v>
      </c>
      <c r="B546" s="229" t="s">
        <v>229</v>
      </c>
      <c r="C546" s="229" t="s">
        <v>208</v>
      </c>
      <c r="D546" s="229" t="s">
        <v>25</v>
      </c>
      <c r="E546" s="229" t="s">
        <v>26</v>
      </c>
      <c r="F546" s="229" t="s">
        <v>75</v>
      </c>
      <c r="G546">
        <v>4</v>
      </c>
    </row>
    <row r="547" spans="1:7" hidden="1" x14ac:dyDescent="0.2">
      <c r="A547" t="str">
        <f t="shared" si="8"/>
        <v>CPEServicesJAVA: Consulta Banco de DadosASimplesComplexo</v>
      </c>
      <c r="B547" s="229" t="s">
        <v>229</v>
      </c>
      <c r="C547" s="229" t="s">
        <v>208</v>
      </c>
      <c r="D547" s="229" t="s">
        <v>25</v>
      </c>
      <c r="E547" s="229" t="s">
        <v>26</v>
      </c>
      <c r="F547" s="229" t="s">
        <v>76</v>
      </c>
      <c r="G547">
        <v>6</v>
      </c>
    </row>
    <row r="548" spans="1:7" hidden="1" x14ac:dyDescent="0.2">
      <c r="A548" t="str">
        <f t="shared" si="8"/>
        <v>CPEServicesJAVA: Consulta Banco de DadosAMédioSimples</v>
      </c>
      <c r="B548" s="229" t="s">
        <v>229</v>
      </c>
      <c r="C548" s="229" t="s">
        <v>208</v>
      </c>
      <c r="D548" s="229" t="s">
        <v>25</v>
      </c>
      <c r="E548" s="229" t="s">
        <v>75</v>
      </c>
      <c r="F548" s="229" t="s">
        <v>26</v>
      </c>
      <c r="G548">
        <v>3</v>
      </c>
    </row>
    <row r="549" spans="1:7" hidden="1" x14ac:dyDescent="0.2">
      <c r="A549" t="str">
        <f t="shared" si="8"/>
        <v>CPEServicesJAVA: Consulta Banco de DadosAMédioMédio</v>
      </c>
      <c r="B549" s="229" t="s">
        <v>229</v>
      </c>
      <c r="C549" s="229" t="s">
        <v>208</v>
      </c>
      <c r="D549" s="229" t="s">
        <v>25</v>
      </c>
      <c r="E549" s="229" t="s">
        <v>75</v>
      </c>
      <c r="F549" s="229" t="s">
        <v>75</v>
      </c>
      <c r="G549">
        <v>6</v>
      </c>
    </row>
    <row r="550" spans="1:7" hidden="1" x14ac:dyDescent="0.2">
      <c r="A550" t="str">
        <f t="shared" si="8"/>
        <v>CPEServicesJAVA: Consulta Banco de DadosAMédioComplexo</v>
      </c>
      <c r="B550" s="229" t="s">
        <v>229</v>
      </c>
      <c r="C550" s="229" t="s">
        <v>208</v>
      </c>
      <c r="D550" s="229" t="s">
        <v>25</v>
      </c>
      <c r="E550" s="229" t="s">
        <v>75</v>
      </c>
      <c r="F550" s="229" t="s">
        <v>76</v>
      </c>
      <c r="G550">
        <v>8</v>
      </c>
    </row>
    <row r="551" spans="1:7" hidden="1" x14ac:dyDescent="0.2">
      <c r="A551" t="str">
        <f t="shared" si="8"/>
        <v>CPEServicesJAVA: Consulta Banco de DadosAComplexoSimples</v>
      </c>
      <c r="B551" s="229" t="s">
        <v>229</v>
      </c>
      <c r="C551" s="229" t="s">
        <v>208</v>
      </c>
      <c r="D551" s="229" t="s">
        <v>25</v>
      </c>
      <c r="E551" s="229" t="s">
        <v>76</v>
      </c>
      <c r="F551" s="229" t="s">
        <v>26</v>
      </c>
      <c r="G551">
        <v>5</v>
      </c>
    </row>
    <row r="552" spans="1:7" hidden="1" x14ac:dyDescent="0.2">
      <c r="A552" t="str">
        <f t="shared" si="8"/>
        <v>CPEServicesJAVA: Consulta Banco de DadosAComplexoMédio</v>
      </c>
      <c r="B552" s="229" t="s">
        <v>229</v>
      </c>
      <c r="C552" s="229" t="s">
        <v>208</v>
      </c>
      <c r="D552" s="229" t="s">
        <v>25</v>
      </c>
      <c r="E552" s="229" t="s">
        <v>76</v>
      </c>
      <c r="F552" s="229" t="s">
        <v>75</v>
      </c>
      <c r="G552">
        <v>8</v>
      </c>
    </row>
    <row r="553" spans="1:7" hidden="1" x14ac:dyDescent="0.2">
      <c r="A553" t="str">
        <f t="shared" si="8"/>
        <v>CPEServicesJAVA: Consulta Banco de DadosAComplexoComplexo</v>
      </c>
      <c r="B553" s="229" t="s">
        <v>229</v>
      </c>
      <c r="C553" s="229" t="s">
        <v>208</v>
      </c>
      <c r="D553" s="229" t="s">
        <v>25</v>
      </c>
      <c r="E553" s="229" t="s">
        <v>76</v>
      </c>
      <c r="F553" s="229" t="s">
        <v>76</v>
      </c>
      <c r="G553">
        <v>10</v>
      </c>
    </row>
    <row r="554" spans="1:7" hidden="1" x14ac:dyDescent="0.2">
      <c r="A554" t="str">
        <f t="shared" si="8"/>
        <v>CPEServicesJAVA: Geração de StubsNSimples</v>
      </c>
      <c r="B554" s="229" t="s">
        <v>229</v>
      </c>
      <c r="C554" s="229" t="s">
        <v>209</v>
      </c>
      <c r="D554" s="229" t="s">
        <v>24</v>
      </c>
      <c r="E554" s="229" t="s">
        <v>26</v>
      </c>
      <c r="F554" s="229"/>
      <c r="G554">
        <v>1</v>
      </c>
    </row>
    <row r="555" spans="1:7" hidden="1" x14ac:dyDescent="0.2">
      <c r="A555" t="str">
        <f t="shared" si="8"/>
        <v>CPEServicesJAVA: Geração de StubsNMédio</v>
      </c>
      <c r="B555" s="229" t="s">
        <v>229</v>
      </c>
      <c r="C555" s="229" t="s">
        <v>209</v>
      </c>
      <c r="D555" s="229" t="s">
        <v>24</v>
      </c>
      <c r="E555" s="229" t="s">
        <v>75</v>
      </c>
      <c r="F555" s="229"/>
      <c r="G555">
        <v>3</v>
      </c>
    </row>
    <row r="556" spans="1:7" hidden="1" x14ac:dyDescent="0.2">
      <c r="A556" t="str">
        <f t="shared" si="8"/>
        <v>CPEServicesJAVA: Geração de StubsNComplexo</v>
      </c>
      <c r="B556" s="229" t="s">
        <v>229</v>
      </c>
      <c r="C556" s="229" t="s">
        <v>209</v>
      </c>
      <c r="D556" s="229" t="s">
        <v>24</v>
      </c>
      <c r="E556" s="229" t="s">
        <v>76</v>
      </c>
      <c r="F556" s="229"/>
      <c r="G556">
        <v>8</v>
      </c>
    </row>
    <row r="557" spans="1:7" hidden="1" x14ac:dyDescent="0.2">
      <c r="A557" t="str">
        <f t="shared" si="8"/>
        <v>CPEServicesJAVA: Geração de StubsASimplesSimples</v>
      </c>
      <c r="B557" s="229" t="s">
        <v>229</v>
      </c>
      <c r="C557" s="229" t="s">
        <v>209</v>
      </c>
      <c r="D557" s="229" t="s">
        <v>25</v>
      </c>
      <c r="E557" s="229" t="s">
        <v>26</v>
      </c>
      <c r="F557" s="229" t="s">
        <v>26</v>
      </c>
      <c r="G557">
        <v>1</v>
      </c>
    </row>
    <row r="558" spans="1:7" hidden="1" x14ac:dyDescent="0.2">
      <c r="A558" t="str">
        <f t="shared" si="8"/>
        <v>CPEServicesJAVA: Geração de StubsASimplesMédio</v>
      </c>
      <c r="B558" s="229" t="s">
        <v>229</v>
      </c>
      <c r="C558" s="229" t="s">
        <v>209</v>
      </c>
      <c r="D558" s="229" t="s">
        <v>25</v>
      </c>
      <c r="E558" s="229" t="s">
        <v>26</v>
      </c>
      <c r="F558" s="229" t="s">
        <v>75</v>
      </c>
      <c r="G558">
        <v>2</v>
      </c>
    </row>
    <row r="559" spans="1:7" hidden="1" x14ac:dyDescent="0.2">
      <c r="A559" t="str">
        <f t="shared" si="8"/>
        <v>CPEServicesJAVA: Geração de StubsASimplesComplexo</v>
      </c>
      <c r="B559" s="229" t="s">
        <v>229</v>
      </c>
      <c r="C559" s="229" t="s">
        <v>209</v>
      </c>
      <c r="D559" s="229" t="s">
        <v>25</v>
      </c>
      <c r="E559" s="229" t="s">
        <v>26</v>
      </c>
      <c r="F559" s="229" t="s">
        <v>76</v>
      </c>
      <c r="G559">
        <v>3</v>
      </c>
    </row>
    <row r="560" spans="1:7" hidden="1" x14ac:dyDescent="0.2">
      <c r="A560" t="str">
        <f t="shared" si="8"/>
        <v>CPEServicesJAVA: Geração de StubsAMédioSimples</v>
      </c>
      <c r="B560" s="229" t="s">
        <v>229</v>
      </c>
      <c r="C560" s="229" t="s">
        <v>209</v>
      </c>
      <c r="D560" s="229" t="s">
        <v>25</v>
      </c>
      <c r="E560" s="229" t="s">
        <v>75</v>
      </c>
      <c r="F560" s="229" t="s">
        <v>26</v>
      </c>
      <c r="G560">
        <v>2</v>
      </c>
    </row>
    <row r="561" spans="1:7" hidden="1" x14ac:dyDescent="0.2">
      <c r="A561" t="str">
        <f t="shared" si="8"/>
        <v>CPEServicesJAVA: Geração de StubsAMédioMédio</v>
      </c>
      <c r="B561" s="229" t="s">
        <v>229</v>
      </c>
      <c r="C561" s="229" t="s">
        <v>209</v>
      </c>
      <c r="D561" s="229" t="s">
        <v>25</v>
      </c>
      <c r="E561" s="229" t="s">
        <v>75</v>
      </c>
      <c r="F561" s="229" t="s">
        <v>75</v>
      </c>
      <c r="G561">
        <v>3</v>
      </c>
    </row>
    <row r="562" spans="1:7" hidden="1" x14ac:dyDescent="0.2">
      <c r="A562" t="str">
        <f t="shared" si="8"/>
        <v>CPEServicesJAVA: Geração de StubsAMédioComplexo</v>
      </c>
      <c r="B562" s="229" t="s">
        <v>229</v>
      </c>
      <c r="C562" s="229" t="s">
        <v>209</v>
      </c>
      <c r="D562" s="229" t="s">
        <v>25</v>
      </c>
      <c r="E562" s="229" t="s">
        <v>75</v>
      </c>
      <c r="F562" s="229" t="s">
        <v>76</v>
      </c>
      <c r="G562">
        <v>5</v>
      </c>
    </row>
    <row r="563" spans="1:7" hidden="1" x14ac:dyDescent="0.2">
      <c r="A563" t="str">
        <f t="shared" si="8"/>
        <v>CPEServicesJAVA: Geração de StubsAComplexoSimples</v>
      </c>
      <c r="B563" s="229" t="s">
        <v>229</v>
      </c>
      <c r="C563" s="229" t="s">
        <v>209</v>
      </c>
      <c r="D563" s="229" t="s">
        <v>25</v>
      </c>
      <c r="E563" s="229" t="s">
        <v>76</v>
      </c>
      <c r="F563" s="229" t="s">
        <v>26</v>
      </c>
      <c r="G563">
        <v>4</v>
      </c>
    </row>
    <row r="564" spans="1:7" hidden="1" x14ac:dyDescent="0.2">
      <c r="A564" t="str">
        <f t="shared" si="8"/>
        <v>CPEServicesJAVA: Geração de StubsAComplexoMédio</v>
      </c>
      <c r="B564" s="229" t="s">
        <v>229</v>
      </c>
      <c r="C564" s="229" t="s">
        <v>209</v>
      </c>
      <c r="D564" s="229" t="s">
        <v>25</v>
      </c>
      <c r="E564" s="229" t="s">
        <v>76</v>
      </c>
      <c r="F564" s="229" t="s">
        <v>75</v>
      </c>
      <c r="G564">
        <v>6</v>
      </c>
    </row>
    <row r="565" spans="1:7" hidden="1" x14ac:dyDescent="0.2">
      <c r="A565" t="str">
        <f t="shared" si="8"/>
        <v>CPEServicesJAVA: Geração de StubsAComplexoComplexo</v>
      </c>
      <c r="B565" s="229" t="s">
        <v>229</v>
      </c>
      <c r="C565" s="229" t="s">
        <v>209</v>
      </c>
      <c r="D565" s="229" t="s">
        <v>25</v>
      </c>
      <c r="E565" s="229" t="s">
        <v>76</v>
      </c>
      <c r="F565" s="229" t="s">
        <v>76</v>
      </c>
      <c r="G565">
        <v>8</v>
      </c>
    </row>
    <row r="566" spans="1:7" hidden="1" x14ac:dyDescent="0.2">
      <c r="A566" t="str">
        <f t="shared" si="8"/>
        <v>CPEServicesJSPNSimples</v>
      </c>
      <c r="B566" s="229" t="s">
        <v>229</v>
      </c>
      <c r="C566" s="229" t="s">
        <v>210</v>
      </c>
      <c r="D566" s="229" t="s">
        <v>24</v>
      </c>
      <c r="E566" s="229" t="s">
        <v>26</v>
      </c>
      <c r="F566" s="229"/>
      <c r="G566">
        <v>12</v>
      </c>
    </row>
    <row r="567" spans="1:7" hidden="1" x14ac:dyDescent="0.2">
      <c r="A567" t="str">
        <f t="shared" si="8"/>
        <v>CPEServicesJSPNMédio</v>
      </c>
      <c r="B567" s="229" t="s">
        <v>229</v>
      </c>
      <c r="C567" s="229" t="s">
        <v>210</v>
      </c>
      <c r="D567" s="229" t="s">
        <v>24</v>
      </c>
      <c r="E567" s="229" t="s">
        <v>75</v>
      </c>
      <c r="F567" s="229"/>
      <c r="G567">
        <v>18</v>
      </c>
    </row>
    <row r="568" spans="1:7" hidden="1" x14ac:dyDescent="0.2">
      <c r="A568" t="str">
        <f t="shared" si="8"/>
        <v>CPEServicesJSPNComplexo</v>
      </c>
      <c r="B568" s="229" t="s">
        <v>229</v>
      </c>
      <c r="C568" s="229" t="s">
        <v>210</v>
      </c>
      <c r="D568" s="229" t="s">
        <v>24</v>
      </c>
      <c r="E568" s="229" t="s">
        <v>76</v>
      </c>
      <c r="F568" s="229"/>
      <c r="G568">
        <v>24</v>
      </c>
    </row>
    <row r="569" spans="1:7" hidden="1" x14ac:dyDescent="0.2">
      <c r="A569" t="str">
        <f t="shared" si="8"/>
        <v>CPEServicesJSPASimplesSimples</v>
      </c>
      <c r="B569" s="229" t="s">
        <v>229</v>
      </c>
      <c r="C569" s="229" t="s">
        <v>210</v>
      </c>
      <c r="D569" s="229" t="s">
        <v>25</v>
      </c>
      <c r="E569" s="229" t="s">
        <v>26</v>
      </c>
      <c r="F569" s="229" t="s">
        <v>26</v>
      </c>
      <c r="G569">
        <v>5</v>
      </c>
    </row>
    <row r="570" spans="1:7" hidden="1" x14ac:dyDescent="0.2">
      <c r="A570" t="str">
        <f t="shared" si="8"/>
        <v>CPEServicesJSPASimplesMédio</v>
      </c>
      <c r="B570" s="229" t="s">
        <v>229</v>
      </c>
      <c r="C570" s="229" t="s">
        <v>210</v>
      </c>
      <c r="D570" s="229" t="s">
        <v>25</v>
      </c>
      <c r="E570" s="229" t="s">
        <v>26</v>
      </c>
      <c r="F570" s="229" t="s">
        <v>75</v>
      </c>
      <c r="G570">
        <v>8</v>
      </c>
    </row>
    <row r="571" spans="1:7" hidden="1" x14ac:dyDescent="0.2">
      <c r="A571" t="str">
        <f t="shared" si="8"/>
        <v>CPEServicesJSPASimplesComplexo</v>
      </c>
      <c r="B571" s="229" t="s">
        <v>229</v>
      </c>
      <c r="C571" s="229" t="s">
        <v>210</v>
      </c>
      <c r="D571" s="229" t="s">
        <v>25</v>
      </c>
      <c r="E571" s="229" t="s">
        <v>26</v>
      </c>
      <c r="F571" s="229" t="s">
        <v>76</v>
      </c>
      <c r="G571">
        <v>10</v>
      </c>
    </row>
    <row r="572" spans="1:7" hidden="1" x14ac:dyDescent="0.2">
      <c r="A572" t="str">
        <f t="shared" si="8"/>
        <v>CPEServicesJSPAMédioSimples</v>
      </c>
      <c r="B572" s="229" t="s">
        <v>229</v>
      </c>
      <c r="C572" s="229" t="s">
        <v>210</v>
      </c>
      <c r="D572" s="229" t="s">
        <v>25</v>
      </c>
      <c r="E572" s="229" t="s">
        <v>75</v>
      </c>
      <c r="F572" s="229" t="s">
        <v>26</v>
      </c>
      <c r="G572">
        <v>8</v>
      </c>
    </row>
    <row r="573" spans="1:7" hidden="1" x14ac:dyDescent="0.2">
      <c r="A573" t="str">
        <f t="shared" si="8"/>
        <v>CPEServicesJSPAMédioMédio</v>
      </c>
      <c r="B573" s="229" t="s">
        <v>229</v>
      </c>
      <c r="C573" s="229" t="s">
        <v>210</v>
      </c>
      <c r="D573" s="229" t="s">
        <v>25</v>
      </c>
      <c r="E573" s="229" t="s">
        <v>75</v>
      </c>
      <c r="F573" s="229" t="s">
        <v>75</v>
      </c>
      <c r="G573">
        <v>10</v>
      </c>
    </row>
    <row r="574" spans="1:7" hidden="1" x14ac:dyDescent="0.2">
      <c r="A574" t="str">
        <f t="shared" si="8"/>
        <v>CPEServicesJSPAMédioComplexo</v>
      </c>
      <c r="B574" s="229" t="s">
        <v>229</v>
      </c>
      <c r="C574" s="229" t="s">
        <v>210</v>
      </c>
      <c r="D574" s="229" t="s">
        <v>25</v>
      </c>
      <c r="E574" s="229" t="s">
        <v>75</v>
      </c>
      <c r="F574" s="229" t="s">
        <v>76</v>
      </c>
      <c r="G574">
        <v>12</v>
      </c>
    </row>
    <row r="575" spans="1:7" hidden="1" x14ac:dyDescent="0.2">
      <c r="A575" t="str">
        <f t="shared" si="8"/>
        <v>CPEServicesJSPAComplexoSimples</v>
      </c>
      <c r="B575" s="229" t="s">
        <v>229</v>
      </c>
      <c r="C575" s="229" t="s">
        <v>210</v>
      </c>
      <c r="D575" s="229" t="s">
        <v>25</v>
      </c>
      <c r="E575" s="229" t="s">
        <v>76</v>
      </c>
      <c r="F575" s="229" t="s">
        <v>26</v>
      </c>
      <c r="G575">
        <v>6</v>
      </c>
    </row>
    <row r="576" spans="1:7" hidden="1" x14ac:dyDescent="0.2">
      <c r="A576" t="str">
        <f t="shared" si="8"/>
        <v>CPEServicesJSPAComplexoMédio</v>
      </c>
      <c r="B576" s="229" t="s">
        <v>229</v>
      </c>
      <c r="C576" s="229" t="s">
        <v>210</v>
      </c>
      <c r="D576" s="229" t="s">
        <v>25</v>
      </c>
      <c r="E576" s="229" t="s">
        <v>76</v>
      </c>
      <c r="F576" s="229" t="s">
        <v>75</v>
      </c>
      <c r="G576">
        <v>12</v>
      </c>
    </row>
    <row r="577" spans="1:7" hidden="1" x14ac:dyDescent="0.2">
      <c r="A577" t="str">
        <f t="shared" si="8"/>
        <v>CPEServicesJSPAComplexoComplexo</v>
      </c>
      <c r="B577" s="229" t="s">
        <v>229</v>
      </c>
      <c r="C577" s="229" t="s">
        <v>210</v>
      </c>
      <c r="D577" s="229" t="s">
        <v>25</v>
      </c>
      <c r="E577" s="229" t="s">
        <v>76</v>
      </c>
      <c r="F577" s="229" t="s">
        <v>76</v>
      </c>
      <c r="G577">
        <v>22</v>
      </c>
    </row>
    <row r="578" spans="1:7" hidden="1" x14ac:dyDescent="0.2">
      <c r="A578" t="str">
        <f t="shared" si="8"/>
        <v>CPEServicesConfiguração Projeto/MóduloNSimples</v>
      </c>
      <c r="B578" s="229" t="s">
        <v>229</v>
      </c>
      <c r="C578" s="229" t="s">
        <v>221</v>
      </c>
      <c r="D578" s="229" t="s">
        <v>24</v>
      </c>
      <c r="E578" s="229" t="s">
        <v>26</v>
      </c>
      <c r="F578" s="229"/>
      <c r="G578">
        <v>2</v>
      </c>
    </row>
    <row r="579" spans="1:7" hidden="1" x14ac:dyDescent="0.2">
      <c r="A579" t="str">
        <f t="shared" ref="A579:A642" si="9">B579&amp;C579&amp;D579&amp;E579&amp;F579</f>
        <v>CPEServicesConfiguração Projeto/MóduloNMédio</v>
      </c>
      <c r="B579" s="229" t="s">
        <v>229</v>
      </c>
      <c r="C579" s="229" t="s">
        <v>221</v>
      </c>
      <c r="D579" s="229" t="s">
        <v>24</v>
      </c>
      <c r="E579" s="229" t="s">
        <v>75</v>
      </c>
      <c r="F579" s="229"/>
      <c r="G579">
        <v>4</v>
      </c>
    </row>
    <row r="580" spans="1:7" hidden="1" x14ac:dyDescent="0.2">
      <c r="A580" t="str">
        <f t="shared" si="9"/>
        <v>CPEServicesConfiguração Projeto/MóduloNComplexo</v>
      </c>
      <c r="B580" s="229" t="s">
        <v>229</v>
      </c>
      <c r="C580" s="229" t="s">
        <v>221</v>
      </c>
      <c r="D580" s="229" t="s">
        <v>24</v>
      </c>
      <c r="E580" s="229" t="s">
        <v>76</v>
      </c>
      <c r="F580" s="229"/>
      <c r="G580">
        <v>8</v>
      </c>
    </row>
    <row r="581" spans="1:7" hidden="1" x14ac:dyDescent="0.2">
      <c r="A581" t="str">
        <f t="shared" si="9"/>
        <v>CPEServicesConfiguração Projeto/MóduloASimplesSimples</v>
      </c>
      <c r="B581" s="229" t="s">
        <v>229</v>
      </c>
      <c r="C581" s="229" t="s">
        <v>221</v>
      </c>
      <c r="D581" s="229" t="s">
        <v>25</v>
      </c>
      <c r="E581" s="229" t="s">
        <v>26</v>
      </c>
      <c r="F581" s="229" t="s">
        <v>26</v>
      </c>
      <c r="G581">
        <v>1</v>
      </c>
    </row>
    <row r="582" spans="1:7" hidden="1" x14ac:dyDescent="0.2">
      <c r="A582" t="str">
        <f t="shared" si="9"/>
        <v>CPEServicesConfiguração Projeto/MóduloASimplesMédio</v>
      </c>
      <c r="B582" s="229" t="s">
        <v>229</v>
      </c>
      <c r="C582" s="229" t="s">
        <v>221</v>
      </c>
      <c r="D582" s="229" t="s">
        <v>25</v>
      </c>
      <c r="E582" s="229" t="s">
        <v>26</v>
      </c>
      <c r="F582" s="229" t="s">
        <v>75</v>
      </c>
      <c r="G582">
        <v>2</v>
      </c>
    </row>
    <row r="583" spans="1:7" hidden="1" x14ac:dyDescent="0.2">
      <c r="A583" t="str">
        <f t="shared" si="9"/>
        <v>CPEServicesConfiguração Projeto/MóduloASimplesComplexo</v>
      </c>
      <c r="B583" s="229" t="s">
        <v>229</v>
      </c>
      <c r="C583" s="229" t="s">
        <v>221</v>
      </c>
      <c r="D583" s="229" t="s">
        <v>25</v>
      </c>
      <c r="E583" s="229" t="s">
        <v>26</v>
      </c>
      <c r="F583" s="229" t="s">
        <v>76</v>
      </c>
      <c r="G583">
        <v>4</v>
      </c>
    </row>
    <row r="584" spans="1:7" hidden="1" x14ac:dyDescent="0.2">
      <c r="A584" t="str">
        <f t="shared" si="9"/>
        <v>CPEServicesConfiguração Projeto/MóduloAMédioSimples</v>
      </c>
      <c r="B584" s="229" t="s">
        <v>229</v>
      </c>
      <c r="C584" s="229" t="s">
        <v>221</v>
      </c>
      <c r="D584" s="229" t="s">
        <v>25</v>
      </c>
      <c r="E584" s="229" t="s">
        <v>75</v>
      </c>
      <c r="F584" s="229" t="s">
        <v>26</v>
      </c>
      <c r="G584">
        <v>2</v>
      </c>
    </row>
    <row r="585" spans="1:7" hidden="1" x14ac:dyDescent="0.2">
      <c r="A585" t="str">
        <f t="shared" si="9"/>
        <v>CPEServicesConfiguração Projeto/MóduloAMédioMédio</v>
      </c>
      <c r="B585" s="229" t="s">
        <v>229</v>
      </c>
      <c r="C585" s="229" t="s">
        <v>221</v>
      </c>
      <c r="D585" s="229" t="s">
        <v>25</v>
      </c>
      <c r="E585" s="229" t="s">
        <v>75</v>
      </c>
      <c r="F585" s="229" t="s">
        <v>75</v>
      </c>
      <c r="G585">
        <v>4</v>
      </c>
    </row>
    <row r="586" spans="1:7" hidden="1" x14ac:dyDescent="0.2">
      <c r="A586" t="str">
        <f t="shared" si="9"/>
        <v>CPEServicesConfiguração Projeto/MóduloAMédioComplexo</v>
      </c>
      <c r="B586" s="229" t="s">
        <v>229</v>
      </c>
      <c r="C586" s="229" t="s">
        <v>221</v>
      </c>
      <c r="D586" s="229" t="s">
        <v>25</v>
      </c>
      <c r="E586" s="229" t="s">
        <v>75</v>
      </c>
      <c r="F586" s="229" t="s">
        <v>76</v>
      </c>
      <c r="G586">
        <v>5</v>
      </c>
    </row>
    <row r="587" spans="1:7" hidden="1" x14ac:dyDescent="0.2">
      <c r="A587" t="str">
        <f t="shared" si="9"/>
        <v>CPEServicesConfiguração Projeto/MóduloAComplexoSimples</v>
      </c>
      <c r="B587" s="229" t="s">
        <v>229</v>
      </c>
      <c r="C587" s="229" t="s">
        <v>221</v>
      </c>
      <c r="D587" s="229" t="s">
        <v>25</v>
      </c>
      <c r="E587" s="229" t="s">
        <v>76</v>
      </c>
      <c r="F587" s="229" t="s">
        <v>26</v>
      </c>
      <c r="G587">
        <v>5</v>
      </c>
    </row>
    <row r="588" spans="1:7" hidden="1" x14ac:dyDescent="0.2">
      <c r="A588" t="str">
        <f t="shared" si="9"/>
        <v>CPEServicesConfiguração Projeto/MóduloAComplexoMédio</v>
      </c>
      <c r="B588" s="229" t="s">
        <v>229</v>
      </c>
      <c r="C588" s="229" t="s">
        <v>221</v>
      </c>
      <c r="D588" s="229" t="s">
        <v>25</v>
      </c>
      <c r="E588" s="229" t="s">
        <v>76</v>
      </c>
      <c r="F588" s="229" t="s">
        <v>75</v>
      </c>
      <c r="G588">
        <v>7</v>
      </c>
    </row>
    <row r="589" spans="1:7" hidden="1" x14ac:dyDescent="0.2">
      <c r="A589" t="str">
        <f t="shared" si="9"/>
        <v>CPEServicesConfiguração Projeto/MóduloAComplexoComplexo</v>
      </c>
      <c r="B589" s="229" t="s">
        <v>229</v>
      </c>
      <c r="C589" s="229" t="s">
        <v>221</v>
      </c>
      <c r="D589" s="229" t="s">
        <v>25</v>
      </c>
      <c r="E589" s="229" t="s">
        <v>76</v>
      </c>
      <c r="F589" s="229" t="s">
        <v>76</v>
      </c>
      <c r="G589">
        <v>8</v>
      </c>
    </row>
    <row r="590" spans="1:7" hidden="1" x14ac:dyDescent="0.2">
      <c r="A590" t="str">
        <f t="shared" si="9"/>
        <v>OSSTurbonetRegraDroolsNSimples</v>
      </c>
      <c r="B590" s="229" t="s">
        <v>230</v>
      </c>
      <c r="C590" s="229" t="s">
        <v>218</v>
      </c>
      <c r="D590" s="229" t="s">
        <v>24</v>
      </c>
      <c r="E590" s="229" t="s">
        <v>26</v>
      </c>
      <c r="F590" s="229"/>
      <c r="G590">
        <v>3</v>
      </c>
    </row>
    <row r="591" spans="1:7" hidden="1" x14ac:dyDescent="0.2">
      <c r="A591" t="str">
        <f t="shared" si="9"/>
        <v>OSSTurbonetRegraDroolsNMédio</v>
      </c>
      <c r="B591" s="229" t="s">
        <v>230</v>
      </c>
      <c r="C591" s="229" t="s">
        <v>218</v>
      </c>
      <c r="D591" s="229" t="s">
        <v>24</v>
      </c>
      <c r="E591" s="229" t="s">
        <v>75</v>
      </c>
      <c r="F591" s="229"/>
      <c r="G591">
        <v>5</v>
      </c>
    </row>
    <row r="592" spans="1:7" hidden="1" x14ac:dyDescent="0.2">
      <c r="A592" t="str">
        <f t="shared" si="9"/>
        <v>OSSTurbonetRegraDroolsNComplexo</v>
      </c>
      <c r="B592" s="229" t="s">
        <v>230</v>
      </c>
      <c r="C592" s="229" t="s">
        <v>218</v>
      </c>
      <c r="D592" s="229" t="s">
        <v>24</v>
      </c>
      <c r="E592" s="229" t="s">
        <v>76</v>
      </c>
      <c r="F592" s="229"/>
      <c r="G592">
        <v>9</v>
      </c>
    </row>
    <row r="593" spans="1:7" hidden="1" x14ac:dyDescent="0.2">
      <c r="A593" t="str">
        <f t="shared" si="9"/>
        <v>OSSTurbonetRegraDroolsASimplesSimples</v>
      </c>
      <c r="B593" s="229" t="s">
        <v>230</v>
      </c>
      <c r="C593" s="229" t="s">
        <v>218</v>
      </c>
      <c r="D593" s="229" t="s">
        <v>25</v>
      </c>
      <c r="E593" s="229" t="s">
        <v>26</v>
      </c>
      <c r="F593" s="229" t="s">
        <v>26</v>
      </c>
      <c r="G593">
        <v>2</v>
      </c>
    </row>
    <row r="594" spans="1:7" hidden="1" x14ac:dyDescent="0.2">
      <c r="A594" t="str">
        <f t="shared" si="9"/>
        <v>OSSTurbonetRegraDroolsASimplesMédio</v>
      </c>
      <c r="B594" s="229" t="s">
        <v>230</v>
      </c>
      <c r="C594" s="229" t="s">
        <v>218</v>
      </c>
      <c r="D594" s="229" t="s">
        <v>25</v>
      </c>
      <c r="E594" s="229" t="s">
        <v>26</v>
      </c>
      <c r="F594" s="229" t="s">
        <v>75</v>
      </c>
      <c r="G594">
        <v>4</v>
      </c>
    </row>
    <row r="595" spans="1:7" hidden="1" x14ac:dyDescent="0.2">
      <c r="A595" t="str">
        <f t="shared" si="9"/>
        <v>OSSTurbonetRegraDroolsASimplesComplexo</v>
      </c>
      <c r="B595" s="229" t="s">
        <v>230</v>
      </c>
      <c r="C595" s="229" t="s">
        <v>218</v>
      </c>
      <c r="D595" s="229" t="s">
        <v>25</v>
      </c>
      <c r="E595" s="229" t="s">
        <v>26</v>
      </c>
      <c r="F595" s="229" t="s">
        <v>76</v>
      </c>
      <c r="G595">
        <v>6</v>
      </c>
    </row>
    <row r="596" spans="1:7" hidden="1" x14ac:dyDescent="0.2">
      <c r="A596" t="str">
        <f t="shared" si="9"/>
        <v>OSSTurbonetRegraDroolsAMédioSimples</v>
      </c>
      <c r="B596" s="229" t="s">
        <v>230</v>
      </c>
      <c r="C596" s="229" t="s">
        <v>218</v>
      </c>
      <c r="D596" s="229" t="s">
        <v>25</v>
      </c>
      <c r="E596" s="229" t="s">
        <v>75</v>
      </c>
      <c r="F596" s="229" t="s">
        <v>26</v>
      </c>
      <c r="G596">
        <v>3</v>
      </c>
    </row>
    <row r="597" spans="1:7" hidden="1" x14ac:dyDescent="0.2">
      <c r="A597" t="str">
        <f t="shared" si="9"/>
        <v>OSSTurbonetRegraDroolsAMédioMédio</v>
      </c>
      <c r="B597" s="229" t="s">
        <v>230</v>
      </c>
      <c r="C597" s="229" t="s">
        <v>218</v>
      </c>
      <c r="D597" s="229" t="s">
        <v>25</v>
      </c>
      <c r="E597" s="229" t="s">
        <v>75</v>
      </c>
      <c r="F597" s="229" t="s">
        <v>75</v>
      </c>
      <c r="G597">
        <v>6</v>
      </c>
    </row>
    <row r="598" spans="1:7" hidden="1" x14ac:dyDescent="0.2">
      <c r="A598" t="str">
        <f t="shared" si="9"/>
        <v>OSSTurbonetRegraDroolsAMédioComplexo</v>
      </c>
      <c r="B598" s="229" t="s">
        <v>230</v>
      </c>
      <c r="C598" s="229" t="s">
        <v>218</v>
      </c>
      <c r="D598" s="229" t="s">
        <v>25</v>
      </c>
      <c r="E598" s="229" t="s">
        <v>75</v>
      </c>
      <c r="F598" s="229" t="s">
        <v>76</v>
      </c>
      <c r="G598">
        <v>8</v>
      </c>
    </row>
    <row r="599" spans="1:7" hidden="1" x14ac:dyDescent="0.2">
      <c r="A599" t="str">
        <f t="shared" si="9"/>
        <v>OSSTurbonetRegraDroolsAComplexoSimples</v>
      </c>
      <c r="B599" s="229" t="s">
        <v>230</v>
      </c>
      <c r="C599" s="229" t="s">
        <v>218</v>
      </c>
      <c r="D599" s="229" t="s">
        <v>25</v>
      </c>
      <c r="E599" s="229" t="s">
        <v>76</v>
      </c>
      <c r="F599" s="229" t="s">
        <v>26</v>
      </c>
      <c r="G599">
        <v>6</v>
      </c>
    </row>
    <row r="600" spans="1:7" hidden="1" x14ac:dyDescent="0.2">
      <c r="A600" t="str">
        <f t="shared" si="9"/>
        <v>OSSTurbonetRegraDroolsAComplexoMédio</v>
      </c>
      <c r="B600" s="229" t="s">
        <v>230</v>
      </c>
      <c r="C600" s="229" t="s">
        <v>218</v>
      </c>
      <c r="D600" s="229" t="s">
        <v>25</v>
      </c>
      <c r="E600" s="229" t="s">
        <v>76</v>
      </c>
      <c r="F600" s="229" t="s">
        <v>75</v>
      </c>
      <c r="G600">
        <v>8</v>
      </c>
    </row>
    <row r="601" spans="1:7" hidden="1" x14ac:dyDescent="0.2">
      <c r="A601" t="str">
        <f t="shared" si="9"/>
        <v>OSSTurbonetRegraDroolsAComplexoComplexo</v>
      </c>
      <c r="B601" s="229" t="s">
        <v>230</v>
      </c>
      <c r="C601" s="229" t="s">
        <v>218</v>
      </c>
      <c r="D601" s="229" t="s">
        <v>25</v>
      </c>
      <c r="E601" s="229" t="s">
        <v>76</v>
      </c>
      <c r="F601" s="229" t="s">
        <v>76</v>
      </c>
      <c r="G601">
        <v>12</v>
      </c>
    </row>
    <row r="602" spans="1:7" hidden="1" x14ac:dyDescent="0.2">
      <c r="A602" t="str">
        <f t="shared" si="9"/>
        <v>OSSTurbonetJUnitNSimples</v>
      </c>
      <c r="B602" s="229" t="s">
        <v>230</v>
      </c>
      <c r="C602" s="229" t="s">
        <v>219</v>
      </c>
      <c r="D602" s="229" t="s">
        <v>24</v>
      </c>
      <c r="E602" s="229" t="s">
        <v>26</v>
      </c>
      <c r="F602" s="229"/>
      <c r="G602">
        <v>3</v>
      </c>
    </row>
    <row r="603" spans="1:7" hidden="1" x14ac:dyDescent="0.2">
      <c r="A603" t="str">
        <f t="shared" si="9"/>
        <v>OSSTurbonetJUnitNMédio</v>
      </c>
      <c r="B603" s="229" t="s">
        <v>230</v>
      </c>
      <c r="C603" s="229" t="s">
        <v>219</v>
      </c>
      <c r="D603" s="229" t="s">
        <v>24</v>
      </c>
      <c r="E603" s="229" t="s">
        <v>75</v>
      </c>
      <c r="F603" s="229"/>
      <c r="G603">
        <v>5</v>
      </c>
    </row>
    <row r="604" spans="1:7" hidden="1" x14ac:dyDescent="0.2">
      <c r="A604" t="str">
        <f t="shared" si="9"/>
        <v>OSSTurbonetJUnitNComplexo</v>
      </c>
      <c r="B604" s="229" t="s">
        <v>230</v>
      </c>
      <c r="C604" s="229" t="s">
        <v>219</v>
      </c>
      <c r="D604" s="229" t="s">
        <v>24</v>
      </c>
      <c r="E604" s="229" t="s">
        <v>76</v>
      </c>
      <c r="F604" s="229"/>
      <c r="G604">
        <v>9</v>
      </c>
    </row>
    <row r="605" spans="1:7" hidden="1" x14ac:dyDescent="0.2">
      <c r="A605" t="str">
        <f t="shared" si="9"/>
        <v>OSSTurbonetJUnitASimplesSimples</v>
      </c>
      <c r="B605" s="229" t="s">
        <v>230</v>
      </c>
      <c r="C605" s="229" t="s">
        <v>219</v>
      </c>
      <c r="D605" s="229" t="s">
        <v>25</v>
      </c>
      <c r="E605" s="229" t="s">
        <v>26</v>
      </c>
      <c r="F605" s="229" t="s">
        <v>26</v>
      </c>
      <c r="G605">
        <v>2</v>
      </c>
    </row>
    <row r="606" spans="1:7" hidden="1" x14ac:dyDescent="0.2">
      <c r="A606" t="str">
        <f t="shared" si="9"/>
        <v>OSSTurbonetJUnitASimplesMédio</v>
      </c>
      <c r="B606" s="229" t="s">
        <v>230</v>
      </c>
      <c r="C606" s="229" t="s">
        <v>219</v>
      </c>
      <c r="D606" s="229" t="s">
        <v>25</v>
      </c>
      <c r="E606" s="229" t="s">
        <v>26</v>
      </c>
      <c r="F606" s="229" t="s">
        <v>75</v>
      </c>
      <c r="G606">
        <v>4</v>
      </c>
    </row>
    <row r="607" spans="1:7" hidden="1" x14ac:dyDescent="0.2">
      <c r="A607" t="str">
        <f t="shared" si="9"/>
        <v>OSSTurbonetJUnitASimplesComplexo</v>
      </c>
      <c r="B607" s="229" t="s">
        <v>230</v>
      </c>
      <c r="C607" s="229" t="s">
        <v>219</v>
      </c>
      <c r="D607" s="229" t="s">
        <v>25</v>
      </c>
      <c r="E607" s="229" t="s">
        <v>26</v>
      </c>
      <c r="F607" s="229" t="s">
        <v>76</v>
      </c>
      <c r="G607">
        <v>5</v>
      </c>
    </row>
    <row r="608" spans="1:7" hidden="1" x14ac:dyDescent="0.2">
      <c r="A608" t="str">
        <f t="shared" si="9"/>
        <v>OSSTurbonetJUnitAMédioSimples</v>
      </c>
      <c r="B608" s="229" t="s">
        <v>230</v>
      </c>
      <c r="C608" s="229" t="s">
        <v>219</v>
      </c>
      <c r="D608" s="229" t="s">
        <v>25</v>
      </c>
      <c r="E608" s="229" t="s">
        <v>75</v>
      </c>
      <c r="F608" s="229" t="s">
        <v>26</v>
      </c>
      <c r="G608">
        <v>3</v>
      </c>
    </row>
    <row r="609" spans="1:7" hidden="1" x14ac:dyDescent="0.2">
      <c r="A609" t="str">
        <f t="shared" si="9"/>
        <v>OSSTurbonetJUnitAMédioMédio</v>
      </c>
      <c r="B609" s="229" t="s">
        <v>230</v>
      </c>
      <c r="C609" s="229" t="s">
        <v>219</v>
      </c>
      <c r="D609" s="229" t="s">
        <v>25</v>
      </c>
      <c r="E609" s="229" t="s">
        <v>75</v>
      </c>
      <c r="F609" s="229" t="s">
        <v>75</v>
      </c>
      <c r="G609">
        <v>5</v>
      </c>
    </row>
    <row r="610" spans="1:7" hidden="1" x14ac:dyDescent="0.2">
      <c r="A610" t="str">
        <f t="shared" si="9"/>
        <v>OSSTurbonetJUnitAMédioComplexo</v>
      </c>
      <c r="B610" s="229" t="s">
        <v>230</v>
      </c>
      <c r="C610" s="229" t="s">
        <v>219</v>
      </c>
      <c r="D610" s="229" t="s">
        <v>25</v>
      </c>
      <c r="E610" s="229" t="s">
        <v>75</v>
      </c>
      <c r="F610" s="229" t="s">
        <v>76</v>
      </c>
      <c r="G610">
        <v>7</v>
      </c>
    </row>
    <row r="611" spans="1:7" hidden="1" x14ac:dyDescent="0.2">
      <c r="A611" t="str">
        <f t="shared" si="9"/>
        <v>OSSTurbonetJUnitAComplexoSimples</v>
      </c>
      <c r="B611" s="229" t="s">
        <v>230</v>
      </c>
      <c r="C611" s="229" t="s">
        <v>219</v>
      </c>
      <c r="D611" s="229" t="s">
        <v>25</v>
      </c>
      <c r="E611" s="229" t="s">
        <v>76</v>
      </c>
      <c r="F611" s="229" t="s">
        <v>26</v>
      </c>
      <c r="G611">
        <v>4</v>
      </c>
    </row>
    <row r="612" spans="1:7" hidden="1" x14ac:dyDescent="0.2">
      <c r="A612" t="str">
        <f t="shared" si="9"/>
        <v>OSSTurbonetJUnitAComplexoMédio</v>
      </c>
      <c r="B612" s="229" t="s">
        <v>230</v>
      </c>
      <c r="C612" s="229" t="s">
        <v>219</v>
      </c>
      <c r="D612" s="229" t="s">
        <v>25</v>
      </c>
      <c r="E612" s="229" t="s">
        <v>76</v>
      </c>
      <c r="F612" s="229" t="s">
        <v>75</v>
      </c>
      <c r="G612">
        <v>6</v>
      </c>
    </row>
    <row r="613" spans="1:7" hidden="1" x14ac:dyDescent="0.2">
      <c r="A613" t="str">
        <f t="shared" si="9"/>
        <v>OSSTurbonetJUnitAComplexoComplexo</v>
      </c>
      <c r="B613" s="229" t="s">
        <v>230</v>
      </c>
      <c r="C613" s="229" t="s">
        <v>219</v>
      </c>
      <c r="D613" s="229" t="s">
        <v>25</v>
      </c>
      <c r="E613" s="229" t="s">
        <v>76</v>
      </c>
      <c r="F613" s="229" t="s">
        <v>76</v>
      </c>
      <c r="G613">
        <v>8</v>
      </c>
    </row>
    <row r="614" spans="1:7" hidden="1" x14ac:dyDescent="0.2">
      <c r="A614" t="str">
        <f t="shared" si="9"/>
        <v>OSSTurbonetBanco de Dados (DML, DDL)NSimples</v>
      </c>
      <c r="B614" s="229" t="s">
        <v>230</v>
      </c>
      <c r="C614" s="229" t="s">
        <v>220</v>
      </c>
      <c r="D614" s="229" t="s">
        <v>24</v>
      </c>
      <c r="E614" s="229" t="s">
        <v>26</v>
      </c>
      <c r="F614" s="229"/>
      <c r="G614">
        <v>1</v>
      </c>
    </row>
    <row r="615" spans="1:7" hidden="1" x14ac:dyDescent="0.2">
      <c r="A615" t="str">
        <f t="shared" si="9"/>
        <v>OSSTurbonetBanco de Dados (DML, DDL)NMédio</v>
      </c>
      <c r="B615" s="229" t="s">
        <v>230</v>
      </c>
      <c r="C615" s="229" t="s">
        <v>220</v>
      </c>
      <c r="D615" s="229" t="s">
        <v>24</v>
      </c>
      <c r="E615" s="229" t="s">
        <v>75</v>
      </c>
      <c r="F615" s="229"/>
      <c r="G615">
        <v>3</v>
      </c>
    </row>
    <row r="616" spans="1:7" hidden="1" x14ac:dyDescent="0.2">
      <c r="A616" t="str">
        <f t="shared" si="9"/>
        <v>OSSTurbonetBanco de Dados (DML, DDL)NComplexo</v>
      </c>
      <c r="B616" s="229" t="s">
        <v>230</v>
      </c>
      <c r="C616" s="229" t="s">
        <v>220</v>
      </c>
      <c r="D616" s="229" t="s">
        <v>24</v>
      </c>
      <c r="E616" s="229" t="s">
        <v>76</v>
      </c>
      <c r="F616" s="229"/>
      <c r="G616">
        <v>5</v>
      </c>
    </row>
    <row r="617" spans="1:7" hidden="1" x14ac:dyDescent="0.2">
      <c r="A617" t="str">
        <f t="shared" si="9"/>
        <v>OSSTurbonetBanco de Dados (DML, DDL)ASimplesSimples</v>
      </c>
      <c r="B617" s="229" t="s">
        <v>230</v>
      </c>
      <c r="C617" s="229" t="s">
        <v>220</v>
      </c>
      <c r="D617" s="229" t="s">
        <v>25</v>
      </c>
      <c r="E617" s="229" t="s">
        <v>26</v>
      </c>
      <c r="F617" s="229" t="s">
        <v>26</v>
      </c>
      <c r="G617">
        <v>1</v>
      </c>
    </row>
    <row r="618" spans="1:7" hidden="1" x14ac:dyDescent="0.2">
      <c r="A618" t="str">
        <f t="shared" si="9"/>
        <v>OSSTurbonetBanco de Dados (DML, DDL)ASimplesMédio</v>
      </c>
      <c r="B618" s="229" t="s">
        <v>230</v>
      </c>
      <c r="C618" s="229" t="s">
        <v>220</v>
      </c>
      <c r="D618" s="229" t="s">
        <v>25</v>
      </c>
      <c r="E618" s="229" t="s">
        <v>26</v>
      </c>
      <c r="F618" s="229" t="s">
        <v>75</v>
      </c>
      <c r="G618">
        <v>3</v>
      </c>
    </row>
    <row r="619" spans="1:7" hidden="1" x14ac:dyDescent="0.2">
      <c r="A619" t="str">
        <f t="shared" si="9"/>
        <v>OSSTurbonetBanco de Dados (DML, DDL)ASimplesComplexo</v>
      </c>
      <c r="B619" s="229" t="s">
        <v>230</v>
      </c>
      <c r="C619" s="229" t="s">
        <v>220</v>
      </c>
      <c r="D619" s="229" t="s">
        <v>25</v>
      </c>
      <c r="E619" s="229" t="s">
        <v>26</v>
      </c>
      <c r="F619" s="229" t="s">
        <v>76</v>
      </c>
      <c r="G619">
        <v>5</v>
      </c>
    </row>
    <row r="620" spans="1:7" hidden="1" x14ac:dyDescent="0.2">
      <c r="A620" t="str">
        <f t="shared" si="9"/>
        <v>OSSTurbonetBanco de Dados (DML, DDL)AMédioSimples</v>
      </c>
      <c r="B620" s="229" t="s">
        <v>230</v>
      </c>
      <c r="C620" s="229" t="s">
        <v>220</v>
      </c>
      <c r="D620" s="229" t="s">
        <v>25</v>
      </c>
      <c r="E620" s="229" t="s">
        <v>75</v>
      </c>
      <c r="F620" s="229" t="s">
        <v>26</v>
      </c>
      <c r="G620">
        <v>3</v>
      </c>
    </row>
    <row r="621" spans="1:7" hidden="1" x14ac:dyDescent="0.2">
      <c r="A621" t="str">
        <f t="shared" si="9"/>
        <v>OSSTurbonetBanco de Dados (DML, DDL)AMédioMédio</v>
      </c>
      <c r="B621" s="229" t="s">
        <v>230</v>
      </c>
      <c r="C621" s="229" t="s">
        <v>220</v>
      </c>
      <c r="D621" s="229" t="s">
        <v>25</v>
      </c>
      <c r="E621" s="229" t="s">
        <v>75</v>
      </c>
      <c r="F621" s="229" t="s">
        <v>75</v>
      </c>
      <c r="G621">
        <v>6</v>
      </c>
    </row>
    <row r="622" spans="1:7" hidden="1" x14ac:dyDescent="0.2">
      <c r="A622" t="str">
        <f t="shared" si="9"/>
        <v>OSSTurbonetBanco de Dados (DML, DDL)AMédioComplexo</v>
      </c>
      <c r="B622" s="229" t="s">
        <v>230</v>
      </c>
      <c r="C622" s="229" t="s">
        <v>220</v>
      </c>
      <c r="D622" s="229" t="s">
        <v>25</v>
      </c>
      <c r="E622" s="229" t="s">
        <v>75</v>
      </c>
      <c r="F622" s="229" t="s">
        <v>76</v>
      </c>
      <c r="G622">
        <v>8</v>
      </c>
    </row>
    <row r="623" spans="1:7" hidden="1" x14ac:dyDescent="0.2">
      <c r="A623" t="str">
        <f t="shared" si="9"/>
        <v>OSSTurbonetBanco de Dados (DML, DDL)AComplexoSimples</v>
      </c>
      <c r="B623" s="229" t="s">
        <v>230</v>
      </c>
      <c r="C623" s="229" t="s">
        <v>220</v>
      </c>
      <c r="D623" s="229" t="s">
        <v>25</v>
      </c>
      <c r="E623" s="229" t="s">
        <v>76</v>
      </c>
      <c r="F623" s="229" t="s">
        <v>26</v>
      </c>
      <c r="G623">
        <v>5</v>
      </c>
    </row>
    <row r="624" spans="1:7" hidden="1" x14ac:dyDescent="0.2">
      <c r="A624" t="str">
        <f t="shared" si="9"/>
        <v>OSSTurbonetBanco de Dados (DML, DDL)AComplexoMédio</v>
      </c>
      <c r="B624" s="229" t="s">
        <v>230</v>
      </c>
      <c r="C624" s="229" t="s">
        <v>220</v>
      </c>
      <c r="D624" s="229" t="s">
        <v>25</v>
      </c>
      <c r="E624" s="229" t="s">
        <v>76</v>
      </c>
      <c r="F624" s="229" t="s">
        <v>75</v>
      </c>
      <c r="G624">
        <v>8</v>
      </c>
    </row>
    <row r="625" spans="1:7" hidden="1" x14ac:dyDescent="0.2">
      <c r="A625" t="str">
        <f t="shared" si="9"/>
        <v>OSSTurbonetBanco de Dados (DML, DDL)AComplexoComplexo</v>
      </c>
      <c r="B625" s="229" t="s">
        <v>230</v>
      </c>
      <c r="C625" s="229" t="s">
        <v>220</v>
      </c>
      <c r="D625" s="229" t="s">
        <v>25</v>
      </c>
      <c r="E625" s="229" t="s">
        <v>76</v>
      </c>
      <c r="F625" s="229" t="s">
        <v>76</v>
      </c>
      <c r="G625">
        <v>10</v>
      </c>
    </row>
    <row r="626" spans="1:7" hidden="1" x14ac:dyDescent="0.2">
      <c r="A626" t="str">
        <f t="shared" si="9"/>
        <v>OSSTurbonetBanco de Dados (PL/SQL)NSimples</v>
      </c>
      <c r="B626" s="229" t="s">
        <v>230</v>
      </c>
      <c r="C626" s="229" t="s">
        <v>203</v>
      </c>
      <c r="D626" s="229" t="s">
        <v>24</v>
      </c>
      <c r="E626" s="229" t="s">
        <v>26</v>
      </c>
      <c r="F626" s="229"/>
      <c r="G626">
        <v>4</v>
      </c>
    </row>
    <row r="627" spans="1:7" hidden="1" x14ac:dyDescent="0.2">
      <c r="A627" t="str">
        <f t="shared" si="9"/>
        <v>OSSTurbonetBanco de Dados (PL/SQL)NMédio</v>
      </c>
      <c r="B627" s="229" t="s">
        <v>230</v>
      </c>
      <c r="C627" s="229" t="s">
        <v>203</v>
      </c>
      <c r="D627" s="229" t="s">
        <v>24</v>
      </c>
      <c r="E627" s="229" t="s">
        <v>75</v>
      </c>
      <c r="F627" s="229"/>
      <c r="G627">
        <v>8</v>
      </c>
    </row>
    <row r="628" spans="1:7" hidden="1" x14ac:dyDescent="0.2">
      <c r="A628" t="str">
        <f t="shared" si="9"/>
        <v>OSSTurbonetBanco de Dados (PL/SQL)NComplexo</v>
      </c>
      <c r="B628" s="229" t="s">
        <v>230</v>
      </c>
      <c r="C628" s="229" t="s">
        <v>203</v>
      </c>
      <c r="D628" s="229" t="s">
        <v>24</v>
      </c>
      <c r="E628" s="229" t="s">
        <v>76</v>
      </c>
      <c r="F628" s="229"/>
      <c r="G628">
        <v>12</v>
      </c>
    </row>
    <row r="629" spans="1:7" hidden="1" x14ac:dyDescent="0.2">
      <c r="A629" t="str">
        <f t="shared" si="9"/>
        <v>OSSTurbonetBanco de Dados (PL/SQL)ASimplesSimples</v>
      </c>
      <c r="B629" s="229" t="s">
        <v>230</v>
      </c>
      <c r="C629" s="229" t="s">
        <v>203</v>
      </c>
      <c r="D629" s="229" t="s">
        <v>25</v>
      </c>
      <c r="E629" s="229" t="s">
        <v>26</v>
      </c>
      <c r="F629" s="229" t="s">
        <v>26</v>
      </c>
      <c r="G629">
        <v>2</v>
      </c>
    </row>
    <row r="630" spans="1:7" hidden="1" x14ac:dyDescent="0.2">
      <c r="A630" t="str">
        <f t="shared" si="9"/>
        <v>OSSTurbonetBanco de Dados (PL/SQL)ASimplesMédio</v>
      </c>
      <c r="B630" s="229" t="s">
        <v>230</v>
      </c>
      <c r="C630" s="229" t="s">
        <v>203</v>
      </c>
      <c r="D630" s="229" t="s">
        <v>25</v>
      </c>
      <c r="E630" s="229" t="s">
        <v>26</v>
      </c>
      <c r="F630" s="229" t="s">
        <v>75</v>
      </c>
      <c r="G630">
        <v>4</v>
      </c>
    </row>
    <row r="631" spans="1:7" hidden="1" x14ac:dyDescent="0.2">
      <c r="A631" t="str">
        <f t="shared" si="9"/>
        <v>OSSTurbonetBanco de Dados (PL/SQL)ASimplesComplexo</v>
      </c>
      <c r="B631" s="229" t="s">
        <v>230</v>
      </c>
      <c r="C631" s="229" t="s">
        <v>203</v>
      </c>
      <c r="D631" s="229" t="s">
        <v>25</v>
      </c>
      <c r="E631" s="229" t="s">
        <v>26</v>
      </c>
      <c r="F631" s="229" t="s">
        <v>76</v>
      </c>
      <c r="G631">
        <v>6</v>
      </c>
    </row>
    <row r="632" spans="1:7" hidden="1" x14ac:dyDescent="0.2">
      <c r="A632" t="str">
        <f t="shared" si="9"/>
        <v>OSSTurbonetBanco de Dados (PL/SQL)AMédioSimples</v>
      </c>
      <c r="B632" s="229" t="s">
        <v>230</v>
      </c>
      <c r="C632" s="229" t="s">
        <v>203</v>
      </c>
      <c r="D632" s="229" t="s">
        <v>25</v>
      </c>
      <c r="E632" s="229" t="s">
        <v>75</v>
      </c>
      <c r="F632" s="229" t="s">
        <v>26</v>
      </c>
      <c r="G632">
        <v>4</v>
      </c>
    </row>
    <row r="633" spans="1:7" hidden="1" x14ac:dyDescent="0.2">
      <c r="A633" t="str">
        <f t="shared" si="9"/>
        <v>OSSTurbonetBanco de Dados (PL/SQL)AMédioMédio</v>
      </c>
      <c r="B633" s="229" t="s">
        <v>230</v>
      </c>
      <c r="C633" s="229" t="s">
        <v>203</v>
      </c>
      <c r="D633" s="229" t="s">
        <v>25</v>
      </c>
      <c r="E633" s="229" t="s">
        <v>75</v>
      </c>
      <c r="F633" s="229" t="s">
        <v>75</v>
      </c>
      <c r="G633">
        <v>6</v>
      </c>
    </row>
    <row r="634" spans="1:7" hidden="1" x14ac:dyDescent="0.2">
      <c r="A634" t="str">
        <f t="shared" si="9"/>
        <v>OSSTurbonetBanco de Dados (PL/SQL)AMédioComplexo</v>
      </c>
      <c r="B634" s="229" t="s">
        <v>230</v>
      </c>
      <c r="C634" s="229" t="s">
        <v>203</v>
      </c>
      <c r="D634" s="229" t="s">
        <v>25</v>
      </c>
      <c r="E634" s="229" t="s">
        <v>75</v>
      </c>
      <c r="F634" s="229" t="s">
        <v>76</v>
      </c>
      <c r="G634">
        <v>9</v>
      </c>
    </row>
    <row r="635" spans="1:7" hidden="1" x14ac:dyDescent="0.2">
      <c r="A635" t="str">
        <f t="shared" si="9"/>
        <v>OSSTurbonetBanco de Dados (PL/SQL)AComplexoSimples</v>
      </c>
      <c r="B635" s="229" t="s">
        <v>230</v>
      </c>
      <c r="C635" s="229" t="s">
        <v>203</v>
      </c>
      <c r="D635" s="229" t="s">
        <v>25</v>
      </c>
      <c r="E635" s="229" t="s">
        <v>76</v>
      </c>
      <c r="F635" s="229" t="s">
        <v>26</v>
      </c>
      <c r="G635">
        <v>7</v>
      </c>
    </row>
    <row r="636" spans="1:7" hidden="1" x14ac:dyDescent="0.2">
      <c r="A636" t="str">
        <f t="shared" si="9"/>
        <v>OSSTurbonetBanco de Dados (PL/SQL)AComplexoMédio</v>
      </c>
      <c r="B636" s="229" t="s">
        <v>230</v>
      </c>
      <c r="C636" s="229" t="s">
        <v>203</v>
      </c>
      <c r="D636" s="229" t="s">
        <v>25</v>
      </c>
      <c r="E636" s="229" t="s">
        <v>76</v>
      </c>
      <c r="F636" s="229" t="s">
        <v>75</v>
      </c>
      <c r="G636">
        <v>9</v>
      </c>
    </row>
    <row r="637" spans="1:7" hidden="1" x14ac:dyDescent="0.2">
      <c r="A637" t="str">
        <f t="shared" si="9"/>
        <v>OSSTurbonetBanco de Dados (PL/SQL)AComplexoComplexo</v>
      </c>
      <c r="B637" s="229" t="s">
        <v>230</v>
      </c>
      <c r="C637" s="229" t="s">
        <v>203</v>
      </c>
      <c r="D637" s="229" t="s">
        <v>25</v>
      </c>
      <c r="E637" s="229" t="s">
        <v>76</v>
      </c>
      <c r="F637" s="229" t="s">
        <v>76</v>
      </c>
      <c r="G637">
        <v>12</v>
      </c>
    </row>
    <row r="638" spans="1:7" hidden="1" x14ac:dyDescent="0.2">
      <c r="A638" t="str">
        <f t="shared" si="9"/>
        <v>OSSTurbonetJAVA: Interface WebServiceNSimples</v>
      </c>
      <c r="B638" s="229" t="s">
        <v>230</v>
      </c>
      <c r="C638" s="229" t="s">
        <v>204</v>
      </c>
      <c r="D638" s="229" t="s">
        <v>24</v>
      </c>
      <c r="E638" s="229" t="s">
        <v>26</v>
      </c>
      <c r="F638" s="229"/>
      <c r="G638">
        <v>3</v>
      </c>
    </row>
    <row r="639" spans="1:7" hidden="1" x14ac:dyDescent="0.2">
      <c r="A639" t="str">
        <f t="shared" si="9"/>
        <v>OSSTurbonetJAVA: Interface WebServiceNMédio</v>
      </c>
      <c r="B639" s="229" t="s">
        <v>230</v>
      </c>
      <c r="C639" s="229" t="s">
        <v>204</v>
      </c>
      <c r="D639" s="229" t="s">
        <v>24</v>
      </c>
      <c r="E639" s="229" t="s">
        <v>75</v>
      </c>
      <c r="F639" s="229"/>
      <c r="G639">
        <v>5</v>
      </c>
    </row>
    <row r="640" spans="1:7" hidden="1" x14ac:dyDescent="0.2">
      <c r="A640" t="str">
        <f t="shared" si="9"/>
        <v>OSSTurbonetJAVA: Interface WebServiceNComplexo</v>
      </c>
      <c r="B640" s="229" t="s">
        <v>230</v>
      </c>
      <c r="C640" s="229" t="s">
        <v>204</v>
      </c>
      <c r="D640" s="229" t="s">
        <v>24</v>
      </c>
      <c r="E640" s="229" t="s">
        <v>76</v>
      </c>
      <c r="F640" s="229"/>
      <c r="G640">
        <v>8</v>
      </c>
    </row>
    <row r="641" spans="1:7" hidden="1" x14ac:dyDescent="0.2">
      <c r="A641" t="str">
        <f t="shared" si="9"/>
        <v>OSSTurbonetJAVA: Interface WebServiceASimplesSimples</v>
      </c>
      <c r="B641" s="229" t="s">
        <v>230</v>
      </c>
      <c r="C641" s="229" t="s">
        <v>204</v>
      </c>
      <c r="D641" s="229" t="s">
        <v>25</v>
      </c>
      <c r="E641" s="229" t="s">
        <v>26</v>
      </c>
      <c r="F641" s="229" t="s">
        <v>26</v>
      </c>
      <c r="G641">
        <v>2</v>
      </c>
    </row>
    <row r="642" spans="1:7" hidden="1" x14ac:dyDescent="0.2">
      <c r="A642" t="str">
        <f t="shared" si="9"/>
        <v>OSSTurbonetJAVA: Interface WebServiceASimplesMédio</v>
      </c>
      <c r="B642" s="229" t="s">
        <v>230</v>
      </c>
      <c r="C642" s="229" t="s">
        <v>204</v>
      </c>
      <c r="D642" s="229" t="s">
        <v>25</v>
      </c>
      <c r="E642" s="229" t="s">
        <v>26</v>
      </c>
      <c r="F642" s="229" t="s">
        <v>75</v>
      </c>
      <c r="G642">
        <v>3</v>
      </c>
    </row>
    <row r="643" spans="1:7" hidden="1" x14ac:dyDescent="0.2">
      <c r="A643" t="str">
        <f t="shared" ref="A643:A706" si="10">B643&amp;C643&amp;D643&amp;E643&amp;F643</f>
        <v>OSSTurbonetJAVA: Interface WebServiceASimplesComplexo</v>
      </c>
      <c r="B643" s="229" t="s">
        <v>230</v>
      </c>
      <c r="C643" s="229" t="s">
        <v>204</v>
      </c>
      <c r="D643" s="229" t="s">
        <v>25</v>
      </c>
      <c r="E643" s="229" t="s">
        <v>26</v>
      </c>
      <c r="F643" s="229" t="s">
        <v>76</v>
      </c>
      <c r="G643">
        <v>4</v>
      </c>
    </row>
    <row r="644" spans="1:7" hidden="1" x14ac:dyDescent="0.2">
      <c r="A644" t="str">
        <f t="shared" si="10"/>
        <v>OSSTurbonetJAVA: Interface WebServiceAMédioSimples</v>
      </c>
      <c r="B644" s="229" t="s">
        <v>230</v>
      </c>
      <c r="C644" s="229" t="s">
        <v>204</v>
      </c>
      <c r="D644" s="229" t="s">
        <v>25</v>
      </c>
      <c r="E644" s="229" t="s">
        <v>75</v>
      </c>
      <c r="F644" s="229" t="s">
        <v>26</v>
      </c>
      <c r="G644">
        <v>2</v>
      </c>
    </row>
    <row r="645" spans="1:7" hidden="1" x14ac:dyDescent="0.2">
      <c r="A645" t="str">
        <f t="shared" si="10"/>
        <v>OSSTurbonetJAVA: Interface WebServiceAMédioMédio</v>
      </c>
      <c r="B645" s="229" t="s">
        <v>230</v>
      </c>
      <c r="C645" s="229" t="s">
        <v>204</v>
      </c>
      <c r="D645" s="229" t="s">
        <v>25</v>
      </c>
      <c r="E645" s="229" t="s">
        <v>75</v>
      </c>
      <c r="F645" s="229" t="s">
        <v>75</v>
      </c>
      <c r="G645">
        <v>5</v>
      </c>
    </row>
    <row r="646" spans="1:7" hidden="1" x14ac:dyDescent="0.2">
      <c r="A646" t="str">
        <f t="shared" si="10"/>
        <v>OSSTurbonetJAVA: Interface WebServiceAMédioComplexo</v>
      </c>
      <c r="B646" s="229" t="s">
        <v>230</v>
      </c>
      <c r="C646" s="229" t="s">
        <v>204</v>
      </c>
      <c r="D646" s="229" t="s">
        <v>25</v>
      </c>
      <c r="E646" s="229" t="s">
        <v>75</v>
      </c>
      <c r="F646" s="229" t="s">
        <v>76</v>
      </c>
      <c r="G646">
        <v>8</v>
      </c>
    </row>
    <row r="647" spans="1:7" hidden="1" x14ac:dyDescent="0.2">
      <c r="A647" t="str">
        <f t="shared" si="10"/>
        <v>OSSTurbonetJAVA: Interface WebServiceAComplexoSimples</v>
      </c>
      <c r="B647" s="229" t="s">
        <v>230</v>
      </c>
      <c r="C647" s="229" t="s">
        <v>204</v>
      </c>
      <c r="D647" s="229" t="s">
        <v>25</v>
      </c>
      <c r="E647" s="229" t="s">
        <v>76</v>
      </c>
      <c r="F647" s="229" t="s">
        <v>26</v>
      </c>
      <c r="G647">
        <v>5</v>
      </c>
    </row>
    <row r="648" spans="1:7" hidden="1" x14ac:dyDescent="0.2">
      <c r="A648" t="str">
        <f t="shared" si="10"/>
        <v>OSSTurbonetJAVA: Interface WebServiceAComplexoMédio</v>
      </c>
      <c r="B648" s="229" t="s">
        <v>230</v>
      </c>
      <c r="C648" s="229" t="s">
        <v>204</v>
      </c>
      <c r="D648" s="229" t="s">
        <v>25</v>
      </c>
      <c r="E648" s="229" t="s">
        <v>76</v>
      </c>
      <c r="F648" s="229" t="s">
        <v>75</v>
      </c>
      <c r="G648">
        <v>7</v>
      </c>
    </row>
    <row r="649" spans="1:7" hidden="1" x14ac:dyDescent="0.2">
      <c r="A649" t="str">
        <f t="shared" si="10"/>
        <v>OSSTurbonetJAVA: Interface WebServiceAComplexoComplexo</v>
      </c>
      <c r="B649" s="229" t="s">
        <v>230</v>
      </c>
      <c r="C649" s="229" t="s">
        <v>204</v>
      </c>
      <c r="D649" s="229" t="s">
        <v>25</v>
      </c>
      <c r="E649" s="229" t="s">
        <v>76</v>
      </c>
      <c r="F649" s="229" t="s">
        <v>76</v>
      </c>
      <c r="G649">
        <v>9</v>
      </c>
    </row>
    <row r="650" spans="1:7" hidden="1" x14ac:dyDescent="0.2">
      <c r="A650" t="str">
        <f t="shared" si="10"/>
        <v>OSSTurbonetJAVA: Transformação de ObjetosNSimples</v>
      </c>
      <c r="B650" s="229" t="s">
        <v>230</v>
      </c>
      <c r="C650" s="229" t="s">
        <v>205</v>
      </c>
      <c r="D650" s="229" t="s">
        <v>24</v>
      </c>
      <c r="E650" s="229" t="s">
        <v>26</v>
      </c>
      <c r="F650" s="229"/>
      <c r="G650">
        <v>1</v>
      </c>
    </row>
    <row r="651" spans="1:7" hidden="1" x14ac:dyDescent="0.2">
      <c r="A651" t="str">
        <f t="shared" si="10"/>
        <v>OSSTurbonetJAVA: Transformação de ObjetosNMédio</v>
      </c>
      <c r="B651" s="229" t="s">
        <v>230</v>
      </c>
      <c r="C651" s="229" t="s">
        <v>205</v>
      </c>
      <c r="D651" s="229" t="s">
        <v>24</v>
      </c>
      <c r="E651" s="229" t="s">
        <v>75</v>
      </c>
      <c r="F651" s="229"/>
      <c r="G651">
        <v>3</v>
      </c>
    </row>
    <row r="652" spans="1:7" hidden="1" x14ac:dyDescent="0.2">
      <c r="A652" t="str">
        <f t="shared" si="10"/>
        <v>OSSTurbonetJAVA: Transformação de ObjetosNComplexo</v>
      </c>
      <c r="B652" s="229" t="s">
        <v>230</v>
      </c>
      <c r="C652" s="229" t="s">
        <v>205</v>
      </c>
      <c r="D652" s="229" t="s">
        <v>24</v>
      </c>
      <c r="E652" s="229" t="s">
        <v>76</v>
      </c>
      <c r="F652" s="229"/>
      <c r="G652">
        <v>5</v>
      </c>
    </row>
    <row r="653" spans="1:7" hidden="1" x14ac:dyDescent="0.2">
      <c r="A653" t="str">
        <f t="shared" si="10"/>
        <v>OSSTurbonetJAVA: Transformação de ObjetosASimplesSimples</v>
      </c>
      <c r="B653" s="229" t="s">
        <v>230</v>
      </c>
      <c r="C653" s="229" t="s">
        <v>205</v>
      </c>
      <c r="D653" s="229" t="s">
        <v>25</v>
      </c>
      <c r="E653" s="229" t="s">
        <v>26</v>
      </c>
      <c r="F653" s="229" t="s">
        <v>26</v>
      </c>
      <c r="G653">
        <v>1</v>
      </c>
    </row>
    <row r="654" spans="1:7" hidden="1" x14ac:dyDescent="0.2">
      <c r="A654" t="str">
        <f t="shared" si="10"/>
        <v>OSSTurbonetJAVA: Transformação de ObjetosASimplesMédio</v>
      </c>
      <c r="B654" s="229" t="s">
        <v>230</v>
      </c>
      <c r="C654" s="229" t="s">
        <v>205</v>
      </c>
      <c r="D654" s="229" t="s">
        <v>25</v>
      </c>
      <c r="E654" s="229" t="s">
        <v>26</v>
      </c>
      <c r="F654" s="229" t="s">
        <v>75</v>
      </c>
      <c r="G654">
        <v>2</v>
      </c>
    </row>
    <row r="655" spans="1:7" hidden="1" x14ac:dyDescent="0.2">
      <c r="A655" t="str">
        <f t="shared" si="10"/>
        <v>OSSTurbonetJAVA: Transformação de ObjetosASimplesComplexo</v>
      </c>
      <c r="B655" s="229" t="s">
        <v>230</v>
      </c>
      <c r="C655" s="229" t="s">
        <v>205</v>
      </c>
      <c r="D655" s="229" t="s">
        <v>25</v>
      </c>
      <c r="E655" s="229" t="s">
        <v>26</v>
      </c>
      <c r="F655" s="229" t="s">
        <v>76</v>
      </c>
      <c r="G655">
        <v>4</v>
      </c>
    </row>
    <row r="656" spans="1:7" hidden="1" x14ac:dyDescent="0.2">
      <c r="A656" t="str">
        <f t="shared" si="10"/>
        <v>OSSTurbonetJAVA: Transformação de ObjetosAMédioSimples</v>
      </c>
      <c r="B656" s="229" t="s">
        <v>230</v>
      </c>
      <c r="C656" s="229" t="s">
        <v>205</v>
      </c>
      <c r="D656" s="229" t="s">
        <v>25</v>
      </c>
      <c r="E656" s="229" t="s">
        <v>75</v>
      </c>
      <c r="F656" s="229" t="s">
        <v>26</v>
      </c>
      <c r="G656">
        <v>3</v>
      </c>
    </row>
    <row r="657" spans="1:7" hidden="1" x14ac:dyDescent="0.2">
      <c r="A657" t="str">
        <f t="shared" si="10"/>
        <v>OSSTurbonetJAVA: Transformação de ObjetosAMédioMédio</v>
      </c>
      <c r="B657" s="229" t="s">
        <v>230</v>
      </c>
      <c r="C657" s="229" t="s">
        <v>205</v>
      </c>
      <c r="D657" s="229" t="s">
        <v>25</v>
      </c>
      <c r="E657" s="229" t="s">
        <v>75</v>
      </c>
      <c r="F657" s="229" t="s">
        <v>75</v>
      </c>
      <c r="G657">
        <v>5</v>
      </c>
    </row>
    <row r="658" spans="1:7" hidden="1" x14ac:dyDescent="0.2">
      <c r="A658" t="str">
        <f t="shared" si="10"/>
        <v>OSSTurbonetJAVA: Transformação de ObjetosAMédioComplexo</v>
      </c>
      <c r="B658" s="229" t="s">
        <v>230</v>
      </c>
      <c r="C658" s="229" t="s">
        <v>205</v>
      </c>
      <c r="D658" s="229" t="s">
        <v>25</v>
      </c>
      <c r="E658" s="229" t="s">
        <v>75</v>
      </c>
      <c r="F658" s="229" t="s">
        <v>76</v>
      </c>
      <c r="G658">
        <v>6</v>
      </c>
    </row>
    <row r="659" spans="1:7" hidden="1" x14ac:dyDescent="0.2">
      <c r="A659" t="str">
        <f t="shared" si="10"/>
        <v>OSSTurbonetJAVA: Transformação de ObjetosAComplexoSimples</v>
      </c>
      <c r="B659" s="229" t="s">
        <v>230</v>
      </c>
      <c r="C659" s="229" t="s">
        <v>205</v>
      </c>
      <c r="D659" s="229" t="s">
        <v>25</v>
      </c>
      <c r="E659" s="229" t="s">
        <v>76</v>
      </c>
      <c r="F659" s="229" t="s">
        <v>26</v>
      </c>
      <c r="G659">
        <v>4</v>
      </c>
    </row>
    <row r="660" spans="1:7" hidden="1" x14ac:dyDescent="0.2">
      <c r="A660" t="str">
        <f t="shared" si="10"/>
        <v>OSSTurbonetJAVA: Transformação de ObjetosAComplexoMédio</v>
      </c>
      <c r="B660" s="229" t="s">
        <v>230</v>
      </c>
      <c r="C660" s="229" t="s">
        <v>205</v>
      </c>
      <c r="D660" s="229" t="s">
        <v>25</v>
      </c>
      <c r="E660" s="229" t="s">
        <v>76</v>
      </c>
      <c r="F660" s="229" t="s">
        <v>75</v>
      </c>
      <c r="G660">
        <v>6</v>
      </c>
    </row>
    <row r="661" spans="1:7" hidden="1" x14ac:dyDescent="0.2">
      <c r="A661" t="str">
        <f t="shared" si="10"/>
        <v>OSSTurbonetJAVA: Transformação de ObjetosAComplexoComplexo</v>
      </c>
      <c r="B661" s="229" t="s">
        <v>230</v>
      </c>
      <c r="C661" s="229" t="s">
        <v>205</v>
      </c>
      <c r="D661" s="229" t="s">
        <v>25</v>
      </c>
      <c r="E661" s="229" t="s">
        <v>76</v>
      </c>
      <c r="F661" s="229" t="s">
        <v>76</v>
      </c>
      <c r="G661">
        <v>8</v>
      </c>
    </row>
    <row r="662" spans="1:7" hidden="1" x14ac:dyDescent="0.2">
      <c r="A662" t="str">
        <f t="shared" si="10"/>
        <v>OSSTurbonetJAVA: Métodos de Negócio (Controller)NSimples</v>
      </c>
      <c r="B662" s="229" t="s">
        <v>230</v>
      </c>
      <c r="C662" s="229" t="s">
        <v>206</v>
      </c>
      <c r="D662" s="229" t="s">
        <v>24</v>
      </c>
      <c r="E662" s="229" t="s">
        <v>26</v>
      </c>
      <c r="F662" s="229"/>
      <c r="G662">
        <v>8</v>
      </c>
    </row>
    <row r="663" spans="1:7" hidden="1" x14ac:dyDescent="0.2">
      <c r="A663" t="str">
        <f t="shared" si="10"/>
        <v>OSSTurbonetJAVA: Métodos de Negócio (Controller)NMédio</v>
      </c>
      <c r="B663" s="229" t="s">
        <v>230</v>
      </c>
      <c r="C663" s="229" t="s">
        <v>206</v>
      </c>
      <c r="D663" s="229" t="s">
        <v>24</v>
      </c>
      <c r="E663" s="229" t="s">
        <v>75</v>
      </c>
      <c r="F663" s="229"/>
      <c r="G663">
        <v>16</v>
      </c>
    </row>
    <row r="664" spans="1:7" hidden="1" x14ac:dyDescent="0.2">
      <c r="A664" t="str">
        <f t="shared" si="10"/>
        <v>OSSTurbonetJAVA: Métodos de Negócio (Controller)NComplexo</v>
      </c>
      <c r="B664" s="229" t="s">
        <v>230</v>
      </c>
      <c r="C664" s="229" t="s">
        <v>206</v>
      </c>
      <c r="D664" s="229" t="s">
        <v>24</v>
      </c>
      <c r="E664" s="229" t="s">
        <v>76</v>
      </c>
      <c r="F664" s="229"/>
      <c r="G664">
        <v>24</v>
      </c>
    </row>
    <row r="665" spans="1:7" hidden="1" x14ac:dyDescent="0.2">
      <c r="A665" t="str">
        <f t="shared" si="10"/>
        <v>OSSTurbonetJAVA: Métodos de Negócio (Controller)ASimplesSimples</v>
      </c>
      <c r="B665" s="229" t="s">
        <v>230</v>
      </c>
      <c r="C665" s="229" t="s">
        <v>206</v>
      </c>
      <c r="D665" s="229" t="s">
        <v>25</v>
      </c>
      <c r="E665" s="229" t="s">
        <v>26</v>
      </c>
      <c r="F665" s="229" t="s">
        <v>26</v>
      </c>
      <c r="G665">
        <v>3</v>
      </c>
    </row>
    <row r="666" spans="1:7" hidden="1" x14ac:dyDescent="0.2">
      <c r="A666" t="str">
        <f t="shared" si="10"/>
        <v>OSSTurbonetJAVA: Métodos de Negócio (Controller)ASimplesMédio</v>
      </c>
      <c r="B666" s="229" t="s">
        <v>230</v>
      </c>
      <c r="C666" s="229" t="s">
        <v>206</v>
      </c>
      <c r="D666" s="229" t="s">
        <v>25</v>
      </c>
      <c r="E666" s="229" t="s">
        <v>26</v>
      </c>
      <c r="F666" s="229" t="s">
        <v>75</v>
      </c>
      <c r="G666">
        <v>5</v>
      </c>
    </row>
    <row r="667" spans="1:7" hidden="1" x14ac:dyDescent="0.2">
      <c r="A667" t="str">
        <f t="shared" si="10"/>
        <v>OSSTurbonetJAVA: Métodos de Negócio (Controller)ASimplesComplexo</v>
      </c>
      <c r="B667" s="229" t="s">
        <v>230</v>
      </c>
      <c r="C667" s="229" t="s">
        <v>206</v>
      </c>
      <c r="D667" s="229" t="s">
        <v>25</v>
      </c>
      <c r="E667" s="229" t="s">
        <v>26</v>
      </c>
      <c r="F667" s="229" t="s">
        <v>76</v>
      </c>
      <c r="G667">
        <v>7</v>
      </c>
    </row>
    <row r="668" spans="1:7" hidden="1" x14ac:dyDescent="0.2">
      <c r="A668" t="str">
        <f t="shared" si="10"/>
        <v>OSSTurbonetJAVA: Métodos de Negócio (Controller)AMédioSimples</v>
      </c>
      <c r="B668" s="229" t="s">
        <v>230</v>
      </c>
      <c r="C668" s="229" t="s">
        <v>206</v>
      </c>
      <c r="D668" s="229" t="s">
        <v>25</v>
      </c>
      <c r="E668" s="229" t="s">
        <v>75</v>
      </c>
      <c r="F668" s="229" t="s">
        <v>26</v>
      </c>
      <c r="G668" s="229">
        <v>8</v>
      </c>
    </row>
    <row r="669" spans="1:7" hidden="1" x14ac:dyDescent="0.2">
      <c r="A669" t="str">
        <f t="shared" si="10"/>
        <v>OSSTurbonetJAVA: Métodos de Negócio (Controller)AMédioMédio</v>
      </c>
      <c r="B669" s="229" t="s">
        <v>230</v>
      </c>
      <c r="C669" s="229" t="s">
        <v>206</v>
      </c>
      <c r="D669" s="229" t="s">
        <v>25</v>
      </c>
      <c r="E669" s="229" t="s">
        <v>75</v>
      </c>
      <c r="F669" s="229" t="s">
        <v>75</v>
      </c>
      <c r="G669">
        <v>10</v>
      </c>
    </row>
    <row r="670" spans="1:7" hidden="1" x14ac:dyDescent="0.2">
      <c r="A670" t="str">
        <f t="shared" si="10"/>
        <v>OSSTurbonetJAVA: Métodos de Negócio (Controller)AMédioComplexo</v>
      </c>
      <c r="B670" s="229" t="s">
        <v>230</v>
      </c>
      <c r="C670" s="229" t="s">
        <v>206</v>
      </c>
      <c r="D670" s="229" t="s">
        <v>25</v>
      </c>
      <c r="E670" s="229" t="s">
        <v>75</v>
      </c>
      <c r="F670" s="229" t="s">
        <v>76</v>
      </c>
      <c r="G670">
        <v>14</v>
      </c>
    </row>
    <row r="671" spans="1:7" hidden="1" x14ac:dyDescent="0.2">
      <c r="A671" t="str">
        <f t="shared" si="10"/>
        <v>OSSTurbonetJAVA: Métodos de Negócio (Controller)AComplexoSimples</v>
      </c>
      <c r="B671" s="229" t="s">
        <v>230</v>
      </c>
      <c r="C671" s="229" t="s">
        <v>206</v>
      </c>
      <c r="D671" s="229" t="s">
        <v>25</v>
      </c>
      <c r="E671" s="229" t="s">
        <v>76</v>
      </c>
      <c r="F671" s="229" t="s">
        <v>26</v>
      </c>
      <c r="G671">
        <v>6</v>
      </c>
    </row>
    <row r="672" spans="1:7" hidden="1" x14ac:dyDescent="0.2">
      <c r="A672" t="str">
        <f t="shared" si="10"/>
        <v>OSSTurbonetJAVA: Métodos de Negócio (Controller)AComplexoMédio</v>
      </c>
      <c r="B672" s="229" t="s">
        <v>230</v>
      </c>
      <c r="C672" s="229" t="s">
        <v>206</v>
      </c>
      <c r="D672" s="229" t="s">
        <v>25</v>
      </c>
      <c r="E672" s="229" t="s">
        <v>76</v>
      </c>
      <c r="F672" s="229" t="s">
        <v>75</v>
      </c>
      <c r="G672">
        <v>10</v>
      </c>
    </row>
    <row r="673" spans="1:7" hidden="1" x14ac:dyDescent="0.2">
      <c r="A673" t="str">
        <f t="shared" si="10"/>
        <v>OSSTurbonetJAVA: Métodos de Negócio (Controller)AComplexoComplexo</v>
      </c>
      <c r="B673" s="229" t="s">
        <v>230</v>
      </c>
      <c r="C673" s="229" t="s">
        <v>206</v>
      </c>
      <c r="D673" s="229" t="s">
        <v>25</v>
      </c>
      <c r="E673" s="229" t="s">
        <v>76</v>
      </c>
      <c r="F673" s="229" t="s">
        <v>76</v>
      </c>
      <c r="G673">
        <v>16</v>
      </c>
    </row>
    <row r="674" spans="1:7" hidden="1" x14ac:dyDescent="0.2">
      <c r="A674" t="str">
        <f t="shared" si="10"/>
        <v>OSSTurbonetJAVA: EntityNSimples</v>
      </c>
      <c r="B674" s="229" t="s">
        <v>230</v>
      </c>
      <c r="C674" s="229" t="s">
        <v>207</v>
      </c>
      <c r="D674" s="229" t="s">
        <v>24</v>
      </c>
      <c r="E674" s="229" t="s">
        <v>26</v>
      </c>
      <c r="F674" s="229"/>
      <c r="G674">
        <v>1</v>
      </c>
    </row>
    <row r="675" spans="1:7" hidden="1" x14ac:dyDescent="0.2">
      <c r="A675" t="str">
        <f t="shared" si="10"/>
        <v>OSSTurbonetJAVA: EntityNMédio</v>
      </c>
      <c r="B675" s="229" t="s">
        <v>230</v>
      </c>
      <c r="C675" s="229" t="s">
        <v>207</v>
      </c>
      <c r="D675" s="229" t="s">
        <v>24</v>
      </c>
      <c r="E675" s="229" t="s">
        <v>75</v>
      </c>
      <c r="F675" s="229"/>
      <c r="G675">
        <v>2</v>
      </c>
    </row>
    <row r="676" spans="1:7" hidden="1" x14ac:dyDescent="0.2">
      <c r="A676" t="str">
        <f t="shared" si="10"/>
        <v>OSSTurbonetJAVA: EntityNComplexo</v>
      </c>
      <c r="B676" s="229" t="s">
        <v>230</v>
      </c>
      <c r="C676" s="229" t="s">
        <v>207</v>
      </c>
      <c r="D676" s="229" t="s">
        <v>24</v>
      </c>
      <c r="E676" s="229" t="s">
        <v>76</v>
      </c>
      <c r="F676" s="229"/>
      <c r="G676">
        <v>4</v>
      </c>
    </row>
    <row r="677" spans="1:7" hidden="1" x14ac:dyDescent="0.2">
      <c r="A677" t="str">
        <f t="shared" si="10"/>
        <v>OSSTurbonetJAVA: EntityASimplesSimples</v>
      </c>
      <c r="B677" s="229" t="s">
        <v>230</v>
      </c>
      <c r="C677" s="229" t="s">
        <v>207</v>
      </c>
      <c r="D677" s="229" t="s">
        <v>25</v>
      </c>
      <c r="E677" s="229" t="s">
        <v>26</v>
      </c>
      <c r="F677" s="229" t="s">
        <v>26</v>
      </c>
      <c r="G677">
        <v>1</v>
      </c>
    </row>
    <row r="678" spans="1:7" hidden="1" x14ac:dyDescent="0.2">
      <c r="A678" t="str">
        <f t="shared" si="10"/>
        <v>OSSTurbonetJAVA: EntityASimplesMédio</v>
      </c>
      <c r="B678" s="229" t="s">
        <v>230</v>
      </c>
      <c r="C678" s="229" t="s">
        <v>207</v>
      </c>
      <c r="D678" s="229" t="s">
        <v>25</v>
      </c>
      <c r="E678" s="229" t="s">
        <v>26</v>
      </c>
      <c r="F678" s="229" t="s">
        <v>75</v>
      </c>
      <c r="G678">
        <v>2</v>
      </c>
    </row>
    <row r="679" spans="1:7" hidden="1" x14ac:dyDescent="0.2">
      <c r="A679" t="str">
        <f t="shared" si="10"/>
        <v>OSSTurbonetJAVA: EntityASimplesComplexo</v>
      </c>
      <c r="B679" s="229" t="s">
        <v>230</v>
      </c>
      <c r="C679" s="229" t="s">
        <v>207</v>
      </c>
      <c r="D679" s="229" t="s">
        <v>25</v>
      </c>
      <c r="E679" s="229" t="s">
        <v>26</v>
      </c>
      <c r="F679" s="229" t="s">
        <v>76</v>
      </c>
      <c r="G679">
        <v>3</v>
      </c>
    </row>
    <row r="680" spans="1:7" hidden="1" x14ac:dyDescent="0.2">
      <c r="A680" t="str">
        <f t="shared" si="10"/>
        <v>OSSTurbonetJAVA: EntityAMédioSimples</v>
      </c>
      <c r="B680" s="229" t="s">
        <v>230</v>
      </c>
      <c r="C680" s="229" t="s">
        <v>207</v>
      </c>
      <c r="D680" s="229" t="s">
        <v>25</v>
      </c>
      <c r="E680" s="229" t="s">
        <v>75</v>
      </c>
      <c r="F680" s="229" t="s">
        <v>26</v>
      </c>
      <c r="G680">
        <v>2</v>
      </c>
    </row>
    <row r="681" spans="1:7" hidden="1" x14ac:dyDescent="0.2">
      <c r="A681" t="str">
        <f t="shared" si="10"/>
        <v>OSSTurbonetJAVA: EntityAMédioMédio</v>
      </c>
      <c r="B681" s="229" t="s">
        <v>230</v>
      </c>
      <c r="C681" s="229" t="s">
        <v>207</v>
      </c>
      <c r="D681" s="229" t="s">
        <v>25</v>
      </c>
      <c r="E681" s="229" t="s">
        <v>75</v>
      </c>
      <c r="F681" s="229" t="s">
        <v>75</v>
      </c>
      <c r="G681">
        <v>3</v>
      </c>
    </row>
    <row r="682" spans="1:7" hidden="1" x14ac:dyDescent="0.2">
      <c r="A682" t="str">
        <f t="shared" si="10"/>
        <v>OSSTurbonetJAVA: EntityAMédioComplexo</v>
      </c>
      <c r="B682" s="229" t="s">
        <v>230</v>
      </c>
      <c r="C682" s="229" t="s">
        <v>207</v>
      </c>
      <c r="D682" s="229" t="s">
        <v>25</v>
      </c>
      <c r="E682" s="229" t="s">
        <v>75</v>
      </c>
      <c r="F682" s="229" t="s">
        <v>76</v>
      </c>
      <c r="G682">
        <v>4</v>
      </c>
    </row>
    <row r="683" spans="1:7" hidden="1" x14ac:dyDescent="0.2">
      <c r="A683" t="str">
        <f t="shared" si="10"/>
        <v>OSSTurbonetJAVA: EntityAComplexoSimples</v>
      </c>
      <c r="B683" s="229" t="s">
        <v>230</v>
      </c>
      <c r="C683" s="229" t="s">
        <v>207</v>
      </c>
      <c r="D683" s="229" t="s">
        <v>25</v>
      </c>
      <c r="E683" s="229" t="s">
        <v>76</v>
      </c>
      <c r="F683" s="229" t="s">
        <v>26</v>
      </c>
      <c r="G683">
        <v>3</v>
      </c>
    </row>
    <row r="684" spans="1:7" hidden="1" x14ac:dyDescent="0.2">
      <c r="A684" t="str">
        <f t="shared" si="10"/>
        <v>OSSTurbonetJAVA: EntityAComplexoMédio</v>
      </c>
      <c r="B684" s="229" t="s">
        <v>230</v>
      </c>
      <c r="C684" s="229" t="s">
        <v>207</v>
      </c>
      <c r="D684" s="229" t="s">
        <v>25</v>
      </c>
      <c r="E684" s="229" t="s">
        <v>76</v>
      </c>
      <c r="F684" s="229" t="s">
        <v>75</v>
      </c>
      <c r="G684">
        <v>5</v>
      </c>
    </row>
    <row r="685" spans="1:7" hidden="1" x14ac:dyDescent="0.2">
      <c r="A685" t="str">
        <f t="shared" si="10"/>
        <v>OSSTurbonetJAVA: EntityAComplexoComplexo</v>
      </c>
      <c r="B685" s="229" t="s">
        <v>230</v>
      </c>
      <c r="C685" s="229" t="s">
        <v>207</v>
      </c>
      <c r="D685" s="229" t="s">
        <v>25</v>
      </c>
      <c r="E685" s="229" t="s">
        <v>76</v>
      </c>
      <c r="F685" s="229" t="s">
        <v>76</v>
      </c>
      <c r="G685">
        <v>8</v>
      </c>
    </row>
    <row r="686" spans="1:7" hidden="1" x14ac:dyDescent="0.2">
      <c r="A686" t="str">
        <f t="shared" si="10"/>
        <v>OSSTurbonetJAVA: Consulta Banco de DadosNSimples</v>
      </c>
      <c r="B686" s="229" t="s">
        <v>230</v>
      </c>
      <c r="C686" s="229" t="s">
        <v>208</v>
      </c>
      <c r="D686" s="229" t="s">
        <v>24</v>
      </c>
      <c r="E686" s="229" t="s">
        <v>26</v>
      </c>
      <c r="F686" s="229"/>
      <c r="G686">
        <v>2</v>
      </c>
    </row>
    <row r="687" spans="1:7" hidden="1" x14ac:dyDescent="0.2">
      <c r="A687" t="str">
        <f t="shared" si="10"/>
        <v>OSSTurbonetJAVA: Consulta Banco de DadosNMédio</v>
      </c>
      <c r="B687" s="229" t="s">
        <v>230</v>
      </c>
      <c r="C687" s="229" t="s">
        <v>208</v>
      </c>
      <c r="D687" s="229" t="s">
        <v>24</v>
      </c>
      <c r="E687" s="229" t="s">
        <v>75</v>
      </c>
      <c r="F687" s="229"/>
      <c r="G687">
        <v>5</v>
      </c>
    </row>
    <row r="688" spans="1:7" hidden="1" x14ac:dyDescent="0.2">
      <c r="A688" t="str">
        <f t="shared" si="10"/>
        <v>OSSTurbonetJAVA: Consulta Banco de DadosNComplexo</v>
      </c>
      <c r="B688" s="229" t="s">
        <v>230</v>
      </c>
      <c r="C688" s="229" t="s">
        <v>208</v>
      </c>
      <c r="D688" s="229" t="s">
        <v>24</v>
      </c>
      <c r="E688" s="229" t="s">
        <v>76</v>
      </c>
      <c r="F688" s="229"/>
      <c r="G688">
        <v>8</v>
      </c>
    </row>
    <row r="689" spans="1:7" hidden="1" x14ac:dyDescent="0.2">
      <c r="A689" t="str">
        <f t="shared" si="10"/>
        <v>OSSTurbonetJAVA: Consulta Banco de DadosASimplesSimples</v>
      </c>
      <c r="B689" s="229" t="s">
        <v>230</v>
      </c>
      <c r="C689" s="229" t="s">
        <v>208</v>
      </c>
      <c r="D689" s="229" t="s">
        <v>25</v>
      </c>
      <c r="E689" s="229" t="s">
        <v>26</v>
      </c>
      <c r="F689" s="229" t="s">
        <v>26</v>
      </c>
      <c r="G689">
        <v>2</v>
      </c>
    </row>
    <row r="690" spans="1:7" hidden="1" x14ac:dyDescent="0.2">
      <c r="A690" t="str">
        <f t="shared" si="10"/>
        <v>OSSTurbonetJAVA: Consulta Banco de DadosASimplesMédio</v>
      </c>
      <c r="B690" s="229" t="s">
        <v>230</v>
      </c>
      <c r="C690" s="229" t="s">
        <v>208</v>
      </c>
      <c r="D690" s="229" t="s">
        <v>25</v>
      </c>
      <c r="E690" s="229" t="s">
        <v>26</v>
      </c>
      <c r="F690" s="229" t="s">
        <v>75</v>
      </c>
      <c r="G690">
        <v>4</v>
      </c>
    </row>
    <row r="691" spans="1:7" hidden="1" x14ac:dyDescent="0.2">
      <c r="A691" t="str">
        <f t="shared" si="10"/>
        <v>OSSTurbonetJAVA: Consulta Banco de DadosASimplesComplexo</v>
      </c>
      <c r="B691" s="229" t="s">
        <v>230</v>
      </c>
      <c r="C691" s="229" t="s">
        <v>208</v>
      </c>
      <c r="D691" s="229" t="s">
        <v>25</v>
      </c>
      <c r="E691" s="229" t="s">
        <v>26</v>
      </c>
      <c r="F691" s="229" t="s">
        <v>76</v>
      </c>
      <c r="G691">
        <v>6</v>
      </c>
    </row>
    <row r="692" spans="1:7" hidden="1" x14ac:dyDescent="0.2">
      <c r="A692" t="str">
        <f t="shared" si="10"/>
        <v>OSSTurbonetJAVA: Consulta Banco de DadosAMédioSimples</v>
      </c>
      <c r="B692" s="229" t="s">
        <v>230</v>
      </c>
      <c r="C692" s="229" t="s">
        <v>208</v>
      </c>
      <c r="D692" s="229" t="s">
        <v>25</v>
      </c>
      <c r="E692" s="229" t="s">
        <v>75</v>
      </c>
      <c r="F692" s="229" t="s">
        <v>26</v>
      </c>
      <c r="G692">
        <v>3</v>
      </c>
    </row>
    <row r="693" spans="1:7" hidden="1" x14ac:dyDescent="0.2">
      <c r="A693" t="str">
        <f t="shared" si="10"/>
        <v>OSSTurbonetJAVA: Consulta Banco de DadosAMédioMédio</v>
      </c>
      <c r="B693" s="229" t="s">
        <v>230</v>
      </c>
      <c r="C693" s="229" t="s">
        <v>208</v>
      </c>
      <c r="D693" s="229" t="s">
        <v>25</v>
      </c>
      <c r="E693" s="229" t="s">
        <v>75</v>
      </c>
      <c r="F693" s="229" t="s">
        <v>75</v>
      </c>
      <c r="G693">
        <v>6</v>
      </c>
    </row>
    <row r="694" spans="1:7" hidden="1" x14ac:dyDescent="0.2">
      <c r="A694" t="str">
        <f t="shared" si="10"/>
        <v>OSSTurbonetJAVA: Consulta Banco de DadosAMédioComplexo</v>
      </c>
      <c r="B694" s="229" t="s">
        <v>230</v>
      </c>
      <c r="C694" s="229" t="s">
        <v>208</v>
      </c>
      <c r="D694" s="229" t="s">
        <v>25</v>
      </c>
      <c r="E694" s="229" t="s">
        <v>75</v>
      </c>
      <c r="F694" s="229" t="s">
        <v>76</v>
      </c>
      <c r="G694">
        <v>8</v>
      </c>
    </row>
    <row r="695" spans="1:7" hidden="1" x14ac:dyDescent="0.2">
      <c r="A695" t="str">
        <f t="shared" si="10"/>
        <v>OSSTurbonetJAVA: Consulta Banco de DadosAComplexoSimples</v>
      </c>
      <c r="B695" s="229" t="s">
        <v>230</v>
      </c>
      <c r="C695" s="229" t="s">
        <v>208</v>
      </c>
      <c r="D695" s="229" t="s">
        <v>25</v>
      </c>
      <c r="E695" s="229" t="s">
        <v>76</v>
      </c>
      <c r="F695" s="229" t="s">
        <v>26</v>
      </c>
      <c r="G695">
        <v>5</v>
      </c>
    </row>
    <row r="696" spans="1:7" hidden="1" x14ac:dyDescent="0.2">
      <c r="A696" t="str">
        <f t="shared" si="10"/>
        <v>OSSTurbonetJAVA: Consulta Banco de DadosAComplexoMédio</v>
      </c>
      <c r="B696" s="229" t="s">
        <v>230</v>
      </c>
      <c r="C696" s="229" t="s">
        <v>208</v>
      </c>
      <c r="D696" s="229" t="s">
        <v>25</v>
      </c>
      <c r="E696" s="229" t="s">
        <v>76</v>
      </c>
      <c r="F696" s="229" t="s">
        <v>75</v>
      </c>
      <c r="G696">
        <v>8</v>
      </c>
    </row>
    <row r="697" spans="1:7" hidden="1" x14ac:dyDescent="0.2">
      <c r="A697" t="str">
        <f t="shared" si="10"/>
        <v>OSSTurbonetJAVA: Consulta Banco de DadosAComplexoComplexo</v>
      </c>
      <c r="B697" s="229" t="s">
        <v>230</v>
      </c>
      <c r="C697" s="229" t="s">
        <v>208</v>
      </c>
      <c r="D697" s="229" t="s">
        <v>25</v>
      </c>
      <c r="E697" s="229" t="s">
        <v>76</v>
      </c>
      <c r="F697" s="229" t="s">
        <v>76</v>
      </c>
      <c r="G697">
        <v>10</v>
      </c>
    </row>
    <row r="698" spans="1:7" hidden="1" x14ac:dyDescent="0.2">
      <c r="A698" t="str">
        <f t="shared" si="10"/>
        <v>OSSTurbonetJAVA: Geração de StubsNSimples</v>
      </c>
      <c r="B698" s="229" t="s">
        <v>230</v>
      </c>
      <c r="C698" s="229" t="s">
        <v>209</v>
      </c>
      <c r="D698" s="229" t="s">
        <v>24</v>
      </c>
      <c r="E698" s="229" t="s">
        <v>26</v>
      </c>
      <c r="F698" s="229"/>
      <c r="G698">
        <v>1</v>
      </c>
    </row>
    <row r="699" spans="1:7" hidden="1" x14ac:dyDescent="0.2">
      <c r="A699" t="str">
        <f t="shared" si="10"/>
        <v>OSSTurbonetJAVA: Geração de StubsNMédio</v>
      </c>
      <c r="B699" s="229" t="s">
        <v>230</v>
      </c>
      <c r="C699" s="229" t="s">
        <v>209</v>
      </c>
      <c r="D699" s="229" t="s">
        <v>24</v>
      </c>
      <c r="E699" s="229" t="s">
        <v>75</v>
      </c>
      <c r="F699" s="229"/>
      <c r="G699">
        <v>3</v>
      </c>
    </row>
    <row r="700" spans="1:7" hidden="1" x14ac:dyDescent="0.2">
      <c r="A700" t="str">
        <f t="shared" si="10"/>
        <v>OSSTurbonetJAVA: Geração de StubsNComplexo</v>
      </c>
      <c r="B700" s="229" t="s">
        <v>230</v>
      </c>
      <c r="C700" s="229" t="s">
        <v>209</v>
      </c>
      <c r="D700" s="229" t="s">
        <v>24</v>
      </c>
      <c r="E700" s="229" t="s">
        <v>76</v>
      </c>
      <c r="F700" s="229"/>
      <c r="G700">
        <v>8</v>
      </c>
    </row>
    <row r="701" spans="1:7" hidden="1" x14ac:dyDescent="0.2">
      <c r="A701" t="str">
        <f t="shared" si="10"/>
        <v>OSSTurbonetJAVA: Geração de StubsASimplesSimples</v>
      </c>
      <c r="B701" s="229" t="s">
        <v>230</v>
      </c>
      <c r="C701" s="229" t="s">
        <v>209</v>
      </c>
      <c r="D701" s="229" t="s">
        <v>25</v>
      </c>
      <c r="E701" s="229" t="s">
        <v>26</v>
      </c>
      <c r="F701" s="229" t="s">
        <v>26</v>
      </c>
      <c r="G701">
        <v>1</v>
      </c>
    </row>
    <row r="702" spans="1:7" hidden="1" x14ac:dyDescent="0.2">
      <c r="A702" t="str">
        <f t="shared" si="10"/>
        <v>OSSTurbonetJAVA: Geração de StubsASimplesMédio</v>
      </c>
      <c r="B702" s="229" t="s">
        <v>230</v>
      </c>
      <c r="C702" s="229" t="s">
        <v>209</v>
      </c>
      <c r="D702" s="229" t="s">
        <v>25</v>
      </c>
      <c r="E702" s="229" t="s">
        <v>26</v>
      </c>
      <c r="F702" s="229" t="s">
        <v>75</v>
      </c>
      <c r="G702">
        <v>2</v>
      </c>
    </row>
    <row r="703" spans="1:7" hidden="1" x14ac:dyDescent="0.2">
      <c r="A703" t="str">
        <f t="shared" si="10"/>
        <v>OSSTurbonetJAVA: Geração de StubsASimplesComplexo</v>
      </c>
      <c r="B703" s="229" t="s">
        <v>230</v>
      </c>
      <c r="C703" s="229" t="s">
        <v>209</v>
      </c>
      <c r="D703" s="229" t="s">
        <v>25</v>
      </c>
      <c r="E703" s="229" t="s">
        <v>26</v>
      </c>
      <c r="F703" s="229" t="s">
        <v>76</v>
      </c>
      <c r="G703">
        <v>3</v>
      </c>
    </row>
    <row r="704" spans="1:7" hidden="1" x14ac:dyDescent="0.2">
      <c r="A704" t="str">
        <f t="shared" si="10"/>
        <v>OSSTurbonetJAVA: Geração de StubsAMédioSimples</v>
      </c>
      <c r="B704" s="229" t="s">
        <v>230</v>
      </c>
      <c r="C704" s="229" t="s">
        <v>209</v>
      </c>
      <c r="D704" s="229" t="s">
        <v>25</v>
      </c>
      <c r="E704" s="229" t="s">
        <v>75</v>
      </c>
      <c r="F704" s="229" t="s">
        <v>26</v>
      </c>
      <c r="G704">
        <v>2</v>
      </c>
    </row>
    <row r="705" spans="1:7" hidden="1" x14ac:dyDescent="0.2">
      <c r="A705" t="str">
        <f t="shared" si="10"/>
        <v>OSSTurbonetJAVA: Geração de StubsAMédioMédio</v>
      </c>
      <c r="B705" s="229" t="s">
        <v>230</v>
      </c>
      <c r="C705" s="229" t="s">
        <v>209</v>
      </c>
      <c r="D705" s="229" t="s">
        <v>25</v>
      </c>
      <c r="E705" s="229" t="s">
        <v>75</v>
      </c>
      <c r="F705" s="229" t="s">
        <v>75</v>
      </c>
      <c r="G705">
        <v>3</v>
      </c>
    </row>
    <row r="706" spans="1:7" hidden="1" x14ac:dyDescent="0.2">
      <c r="A706" t="str">
        <f t="shared" si="10"/>
        <v>OSSTurbonetJAVA: Geração de StubsAMédioComplexo</v>
      </c>
      <c r="B706" s="229" t="s">
        <v>230</v>
      </c>
      <c r="C706" s="229" t="s">
        <v>209</v>
      </c>
      <c r="D706" s="229" t="s">
        <v>25</v>
      </c>
      <c r="E706" s="229" t="s">
        <v>75</v>
      </c>
      <c r="F706" s="229" t="s">
        <v>76</v>
      </c>
      <c r="G706">
        <v>5</v>
      </c>
    </row>
    <row r="707" spans="1:7" hidden="1" x14ac:dyDescent="0.2">
      <c r="A707" t="str">
        <f t="shared" ref="A707:A770" si="11">B707&amp;C707&amp;D707&amp;E707&amp;F707</f>
        <v>OSSTurbonetJAVA: Geração de StubsAComplexoSimples</v>
      </c>
      <c r="B707" s="229" t="s">
        <v>230</v>
      </c>
      <c r="C707" s="229" t="s">
        <v>209</v>
      </c>
      <c r="D707" s="229" t="s">
        <v>25</v>
      </c>
      <c r="E707" s="229" t="s">
        <v>76</v>
      </c>
      <c r="F707" s="229" t="s">
        <v>26</v>
      </c>
      <c r="G707">
        <v>4</v>
      </c>
    </row>
    <row r="708" spans="1:7" hidden="1" x14ac:dyDescent="0.2">
      <c r="A708" t="str">
        <f t="shared" si="11"/>
        <v>OSSTurbonetJAVA: Geração de StubsAComplexoMédio</v>
      </c>
      <c r="B708" s="229" t="s">
        <v>230</v>
      </c>
      <c r="C708" s="229" t="s">
        <v>209</v>
      </c>
      <c r="D708" s="229" t="s">
        <v>25</v>
      </c>
      <c r="E708" s="229" t="s">
        <v>76</v>
      </c>
      <c r="F708" s="229" t="s">
        <v>75</v>
      </c>
      <c r="G708">
        <v>6</v>
      </c>
    </row>
    <row r="709" spans="1:7" hidden="1" x14ac:dyDescent="0.2">
      <c r="A709" t="str">
        <f t="shared" si="11"/>
        <v>OSSTurbonetJAVA: Geração de StubsAComplexoComplexo</v>
      </c>
      <c r="B709" s="229" t="s">
        <v>230</v>
      </c>
      <c r="C709" s="229" t="s">
        <v>209</v>
      </c>
      <c r="D709" s="229" t="s">
        <v>25</v>
      </c>
      <c r="E709" s="229" t="s">
        <v>76</v>
      </c>
      <c r="F709" s="229" t="s">
        <v>76</v>
      </c>
      <c r="G709">
        <v>8</v>
      </c>
    </row>
    <row r="710" spans="1:7" hidden="1" x14ac:dyDescent="0.2">
      <c r="A710" t="str">
        <f t="shared" si="11"/>
        <v>OSSTurbonetJSPNSimples</v>
      </c>
      <c r="B710" s="229" t="s">
        <v>230</v>
      </c>
      <c r="C710" s="229" t="s">
        <v>210</v>
      </c>
      <c r="D710" s="229" t="s">
        <v>24</v>
      </c>
      <c r="E710" s="229" t="s">
        <v>26</v>
      </c>
      <c r="F710" s="229"/>
      <c r="G710">
        <v>12</v>
      </c>
    </row>
    <row r="711" spans="1:7" hidden="1" x14ac:dyDescent="0.2">
      <c r="A711" t="str">
        <f t="shared" si="11"/>
        <v>OSSTurbonetJSPNMédio</v>
      </c>
      <c r="B711" s="229" t="s">
        <v>230</v>
      </c>
      <c r="C711" s="229" t="s">
        <v>210</v>
      </c>
      <c r="D711" s="229" t="s">
        <v>24</v>
      </c>
      <c r="E711" s="229" t="s">
        <v>75</v>
      </c>
      <c r="F711" s="229"/>
      <c r="G711">
        <v>18</v>
      </c>
    </row>
    <row r="712" spans="1:7" hidden="1" x14ac:dyDescent="0.2">
      <c r="A712" t="str">
        <f t="shared" si="11"/>
        <v>OSSTurbonetJSPNComplexo</v>
      </c>
      <c r="B712" s="229" t="s">
        <v>230</v>
      </c>
      <c r="C712" s="229" t="s">
        <v>210</v>
      </c>
      <c r="D712" s="229" t="s">
        <v>24</v>
      </c>
      <c r="E712" s="229" t="s">
        <v>76</v>
      </c>
      <c r="F712" s="229"/>
      <c r="G712">
        <v>24</v>
      </c>
    </row>
    <row r="713" spans="1:7" hidden="1" x14ac:dyDescent="0.2">
      <c r="A713" t="str">
        <f t="shared" si="11"/>
        <v>OSSTurbonetJSPASimplesSimples</v>
      </c>
      <c r="B713" s="229" t="s">
        <v>230</v>
      </c>
      <c r="C713" s="229" t="s">
        <v>210</v>
      </c>
      <c r="D713" s="229" t="s">
        <v>25</v>
      </c>
      <c r="E713" s="229" t="s">
        <v>26</v>
      </c>
      <c r="F713" s="229" t="s">
        <v>26</v>
      </c>
      <c r="G713">
        <v>5</v>
      </c>
    </row>
    <row r="714" spans="1:7" hidden="1" x14ac:dyDescent="0.2">
      <c r="A714" t="str">
        <f t="shared" si="11"/>
        <v>OSSTurbonetJSPASimplesMédio</v>
      </c>
      <c r="B714" s="229" t="s">
        <v>230</v>
      </c>
      <c r="C714" s="229" t="s">
        <v>210</v>
      </c>
      <c r="D714" s="229" t="s">
        <v>25</v>
      </c>
      <c r="E714" s="229" t="s">
        <v>26</v>
      </c>
      <c r="F714" s="229" t="s">
        <v>75</v>
      </c>
      <c r="G714">
        <v>8</v>
      </c>
    </row>
    <row r="715" spans="1:7" hidden="1" x14ac:dyDescent="0.2">
      <c r="A715" t="str">
        <f t="shared" si="11"/>
        <v>OSSTurbonetJSPASimplesComplexo</v>
      </c>
      <c r="B715" s="229" t="s">
        <v>230</v>
      </c>
      <c r="C715" s="229" t="s">
        <v>210</v>
      </c>
      <c r="D715" s="229" t="s">
        <v>25</v>
      </c>
      <c r="E715" s="229" t="s">
        <v>26</v>
      </c>
      <c r="F715" s="229" t="s">
        <v>76</v>
      </c>
      <c r="G715">
        <v>10</v>
      </c>
    </row>
    <row r="716" spans="1:7" hidden="1" x14ac:dyDescent="0.2">
      <c r="A716" t="str">
        <f t="shared" si="11"/>
        <v>OSSTurbonetJSPAMédioSimples</v>
      </c>
      <c r="B716" s="229" t="s">
        <v>230</v>
      </c>
      <c r="C716" s="229" t="s">
        <v>210</v>
      </c>
      <c r="D716" s="229" t="s">
        <v>25</v>
      </c>
      <c r="E716" s="229" t="s">
        <v>75</v>
      </c>
      <c r="F716" s="229" t="s">
        <v>26</v>
      </c>
      <c r="G716">
        <v>8</v>
      </c>
    </row>
    <row r="717" spans="1:7" hidden="1" x14ac:dyDescent="0.2">
      <c r="A717" t="str">
        <f t="shared" si="11"/>
        <v>OSSTurbonetJSPAMédioMédio</v>
      </c>
      <c r="B717" s="229" t="s">
        <v>230</v>
      </c>
      <c r="C717" s="229" t="s">
        <v>210</v>
      </c>
      <c r="D717" s="229" t="s">
        <v>25</v>
      </c>
      <c r="E717" s="229" t="s">
        <v>75</v>
      </c>
      <c r="F717" s="229" t="s">
        <v>75</v>
      </c>
      <c r="G717">
        <v>10</v>
      </c>
    </row>
    <row r="718" spans="1:7" hidden="1" x14ac:dyDescent="0.2">
      <c r="A718" t="str">
        <f t="shared" si="11"/>
        <v>OSSTurbonetJSPAMédioComplexo</v>
      </c>
      <c r="B718" s="229" t="s">
        <v>230</v>
      </c>
      <c r="C718" s="229" t="s">
        <v>210</v>
      </c>
      <c r="D718" s="229" t="s">
        <v>25</v>
      </c>
      <c r="E718" s="229" t="s">
        <v>75</v>
      </c>
      <c r="F718" s="229" t="s">
        <v>76</v>
      </c>
      <c r="G718">
        <v>12</v>
      </c>
    </row>
    <row r="719" spans="1:7" hidden="1" x14ac:dyDescent="0.2">
      <c r="A719" t="str">
        <f t="shared" si="11"/>
        <v>OSSTurbonetJSPAComplexoSimples</v>
      </c>
      <c r="B719" s="229" t="s">
        <v>230</v>
      </c>
      <c r="C719" s="229" t="s">
        <v>210</v>
      </c>
      <c r="D719" s="229" t="s">
        <v>25</v>
      </c>
      <c r="E719" s="229" t="s">
        <v>76</v>
      </c>
      <c r="F719" s="229" t="s">
        <v>26</v>
      </c>
      <c r="G719">
        <v>6</v>
      </c>
    </row>
    <row r="720" spans="1:7" hidden="1" x14ac:dyDescent="0.2">
      <c r="A720" t="str">
        <f t="shared" si="11"/>
        <v>OSSTurbonetJSPAComplexoMédio</v>
      </c>
      <c r="B720" s="229" t="s">
        <v>230</v>
      </c>
      <c r="C720" s="229" t="s">
        <v>210</v>
      </c>
      <c r="D720" s="229" t="s">
        <v>25</v>
      </c>
      <c r="E720" s="229" t="s">
        <v>76</v>
      </c>
      <c r="F720" s="229" t="s">
        <v>75</v>
      </c>
      <c r="G720">
        <v>12</v>
      </c>
    </row>
    <row r="721" spans="1:7" hidden="1" x14ac:dyDescent="0.2">
      <c r="A721" t="str">
        <f t="shared" si="11"/>
        <v>OSSTurbonetJSPAComplexoComplexo</v>
      </c>
      <c r="B721" s="229" t="s">
        <v>230</v>
      </c>
      <c r="C721" s="229" t="s">
        <v>210</v>
      </c>
      <c r="D721" s="229" t="s">
        <v>25</v>
      </c>
      <c r="E721" s="229" t="s">
        <v>76</v>
      </c>
      <c r="F721" s="229" t="s">
        <v>76</v>
      </c>
      <c r="G721">
        <v>22</v>
      </c>
    </row>
    <row r="722" spans="1:7" hidden="1" x14ac:dyDescent="0.2">
      <c r="A722" t="str">
        <f t="shared" si="11"/>
        <v>OSSTurbonetConfiguração Projeto/MóduloNSimples</v>
      </c>
      <c r="B722" s="229" t="s">
        <v>230</v>
      </c>
      <c r="C722" s="229" t="s">
        <v>221</v>
      </c>
      <c r="D722" s="229" t="s">
        <v>24</v>
      </c>
      <c r="E722" s="229" t="s">
        <v>26</v>
      </c>
      <c r="F722" s="229"/>
      <c r="G722">
        <v>2</v>
      </c>
    </row>
    <row r="723" spans="1:7" hidden="1" x14ac:dyDescent="0.2">
      <c r="A723" t="str">
        <f t="shared" si="11"/>
        <v>OSSTurbonetConfiguração Projeto/MóduloNMédio</v>
      </c>
      <c r="B723" s="229" t="s">
        <v>230</v>
      </c>
      <c r="C723" s="229" t="s">
        <v>221</v>
      </c>
      <c r="D723" s="229" t="s">
        <v>24</v>
      </c>
      <c r="E723" s="229" t="s">
        <v>75</v>
      </c>
      <c r="F723" s="229"/>
      <c r="G723">
        <v>4</v>
      </c>
    </row>
    <row r="724" spans="1:7" hidden="1" x14ac:dyDescent="0.2">
      <c r="A724" t="str">
        <f t="shared" si="11"/>
        <v>OSSTurbonetConfiguração Projeto/MóduloNComplexo</v>
      </c>
      <c r="B724" s="229" t="s">
        <v>230</v>
      </c>
      <c r="C724" s="229" t="s">
        <v>221</v>
      </c>
      <c r="D724" s="229" t="s">
        <v>24</v>
      </c>
      <c r="E724" s="229" t="s">
        <v>76</v>
      </c>
      <c r="F724" s="229"/>
      <c r="G724">
        <v>8</v>
      </c>
    </row>
    <row r="725" spans="1:7" hidden="1" x14ac:dyDescent="0.2">
      <c r="A725" t="str">
        <f t="shared" si="11"/>
        <v>OSSTurbonetConfiguração Projeto/MóduloASimplesSimples</v>
      </c>
      <c r="B725" s="229" t="s">
        <v>230</v>
      </c>
      <c r="C725" s="229" t="s">
        <v>221</v>
      </c>
      <c r="D725" s="229" t="s">
        <v>25</v>
      </c>
      <c r="E725" s="229" t="s">
        <v>26</v>
      </c>
      <c r="F725" s="229" t="s">
        <v>26</v>
      </c>
      <c r="G725">
        <v>1</v>
      </c>
    </row>
    <row r="726" spans="1:7" hidden="1" x14ac:dyDescent="0.2">
      <c r="A726" t="str">
        <f t="shared" si="11"/>
        <v>OSSTurbonetConfiguração Projeto/MóduloASimplesMédio</v>
      </c>
      <c r="B726" s="229" t="s">
        <v>230</v>
      </c>
      <c r="C726" s="229" t="s">
        <v>221</v>
      </c>
      <c r="D726" s="229" t="s">
        <v>25</v>
      </c>
      <c r="E726" s="229" t="s">
        <v>26</v>
      </c>
      <c r="F726" s="229" t="s">
        <v>75</v>
      </c>
      <c r="G726">
        <v>2</v>
      </c>
    </row>
    <row r="727" spans="1:7" hidden="1" x14ac:dyDescent="0.2">
      <c r="A727" t="str">
        <f t="shared" si="11"/>
        <v>OSSTurbonetConfiguração Projeto/MóduloASimplesComplexo</v>
      </c>
      <c r="B727" s="229" t="s">
        <v>230</v>
      </c>
      <c r="C727" s="229" t="s">
        <v>221</v>
      </c>
      <c r="D727" s="229" t="s">
        <v>25</v>
      </c>
      <c r="E727" s="229" t="s">
        <v>26</v>
      </c>
      <c r="F727" s="229" t="s">
        <v>76</v>
      </c>
      <c r="G727">
        <v>4</v>
      </c>
    </row>
    <row r="728" spans="1:7" hidden="1" x14ac:dyDescent="0.2">
      <c r="A728" t="str">
        <f t="shared" si="11"/>
        <v>OSSTurbonetConfiguração Projeto/MóduloAMédioSimples</v>
      </c>
      <c r="B728" s="229" t="s">
        <v>230</v>
      </c>
      <c r="C728" s="229" t="s">
        <v>221</v>
      </c>
      <c r="D728" s="229" t="s">
        <v>25</v>
      </c>
      <c r="E728" s="229" t="s">
        <v>75</v>
      </c>
      <c r="F728" s="229" t="s">
        <v>26</v>
      </c>
      <c r="G728">
        <v>2</v>
      </c>
    </row>
    <row r="729" spans="1:7" hidden="1" x14ac:dyDescent="0.2">
      <c r="A729" t="str">
        <f t="shared" si="11"/>
        <v>OSSTurbonetConfiguração Projeto/MóduloAMédioMédio</v>
      </c>
      <c r="B729" s="229" t="s">
        <v>230</v>
      </c>
      <c r="C729" s="229" t="s">
        <v>221</v>
      </c>
      <c r="D729" s="229" t="s">
        <v>25</v>
      </c>
      <c r="E729" s="229" t="s">
        <v>75</v>
      </c>
      <c r="F729" s="229" t="s">
        <v>75</v>
      </c>
      <c r="G729">
        <v>4</v>
      </c>
    </row>
    <row r="730" spans="1:7" hidden="1" x14ac:dyDescent="0.2">
      <c r="A730" t="str">
        <f t="shared" si="11"/>
        <v>OSSTurbonetConfiguração Projeto/MóduloAMédioComplexo</v>
      </c>
      <c r="B730" s="229" t="s">
        <v>230</v>
      </c>
      <c r="C730" s="229" t="s">
        <v>221</v>
      </c>
      <c r="D730" s="229" t="s">
        <v>25</v>
      </c>
      <c r="E730" s="229" t="s">
        <v>75</v>
      </c>
      <c r="F730" s="229" t="s">
        <v>76</v>
      </c>
      <c r="G730">
        <v>5</v>
      </c>
    </row>
    <row r="731" spans="1:7" hidden="1" x14ac:dyDescent="0.2">
      <c r="A731" t="str">
        <f t="shared" si="11"/>
        <v>OSSTurbonetConfiguração Projeto/MóduloAComplexoSimples</v>
      </c>
      <c r="B731" s="229" t="s">
        <v>230</v>
      </c>
      <c r="C731" s="229" t="s">
        <v>221</v>
      </c>
      <c r="D731" s="229" t="s">
        <v>25</v>
      </c>
      <c r="E731" s="229" t="s">
        <v>76</v>
      </c>
      <c r="F731" s="229" t="s">
        <v>26</v>
      </c>
      <c r="G731">
        <v>5</v>
      </c>
    </row>
    <row r="732" spans="1:7" hidden="1" x14ac:dyDescent="0.2">
      <c r="A732" t="str">
        <f t="shared" si="11"/>
        <v>OSSTurbonetConfiguração Projeto/MóduloAComplexoMédio</v>
      </c>
      <c r="B732" s="229" t="s">
        <v>230</v>
      </c>
      <c r="C732" s="229" t="s">
        <v>221</v>
      </c>
      <c r="D732" s="229" t="s">
        <v>25</v>
      </c>
      <c r="E732" s="229" t="s">
        <v>76</v>
      </c>
      <c r="F732" s="229" t="s">
        <v>75</v>
      </c>
      <c r="G732">
        <v>7</v>
      </c>
    </row>
    <row r="733" spans="1:7" hidden="1" x14ac:dyDescent="0.2">
      <c r="A733" t="str">
        <f t="shared" si="11"/>
        <v>OSSTurbonetConfiguração Projeto/MóduloAComplexoComplexo</v>
      </c>
      <c r="B733" s="229" t="s">
        <v>230</v>
      </c>
      <c r="C733" s="229" t="s">
        <v>221</v>
      </c>
      <c r="D733" s="229" t="s">
        <v>25</v>
      </c>
      <c r="E733" s="229" t="s">
        <v>76</v>
      </c>
      <c r="F733" s="229" t="s">
        <v>76</v>
      </c>
      <c r="G733">
        <v>8</v>
      </c>
    </row>
    <row r="734" spans="1:7" hidden="1" x14ac:dyDescent="0.2">
      <c r="A734" t="str">
        <f t="shared" si="11"/>
        <v>WiseToolsRegraDroolsNSimples</v>
      </c>
      <c r="B734" s="229" t="s">
        <v>231</v>
      </c>
      <c r="C734" s="229" t="s">
        <v>218</v>
      </c>
      <c r="D734" s="229" t="s">
        <v>24</v>
      </c>
      <c r="E734" s="229" t="s">
        <v>26</v>
      </c>
      <c r="F734" s="229"/>
      <c r="G734">
        <v>3</v>
      </c>
    </row>
    <row r="735" spans="1:7" hidden="1" x14ac:dyDescent="0.2">
      <c r="A735" t="str">
        <f t="shared" si="11"/>
        <v>WiseToolsRegraDroolsNMédio</v>
      </c>
      <c r="B735" s="229" t="s">
        <v>231</v>
      </c>
      <c r="C735" s="229" t="s">
        <v>218</v>
      </c>
      <c r="D735" s="229" t="s">
        <v>24</v>
      </c>
      <c r="E735" s="229" t="s">
        <v>75</v>
      </c>
      <c r="F735" s="229"/>
      <c r="G735">
        <v>5</v>
      </c>
    </row>
    <row r="736" spans="1:7" hidden="1" x14ac:dyDescent="0.2">
      <c r="A736" t="str">
        <f t="shared" si="11"/>
        <v>WiseToolsRegraDroolsNComplexo</v>
      </c>
      <c r="B736" s="229" t="s">
        <v>231</v>
      </c>
      <c r="C736" s="229" t="s">
        <v>218</v>
      </c>
      <c r="D736" s="229" t="s">
        <v>24</v>
      </c>
      <c r="E736" s="229" t="s">
        <v>76</v>
      </c>
      <c r="F736" s="229"/>
      <c r="G736">
        <v>9</v>
      </c>
    </row>
    <row r="737" spans="1:7" hidden="1" x14ac:dyDescent="0.2">
      <c r="A737" t="str">
        <f t="shared" si="11"/>
        <v>WiseToolsRegraDroolsASimplesSimples</v>
      </c>
      <c r="B737" s="229" t="s">
        <v>231</v>
      </c>
      <c r="C737" s="229" t="s">
        <v>218</v>
      </c>
      <c r="D737" s="229" t="s">
        <v>25</v>
      </c>
      <c r="E737" s="229" t="s">
        <v>26</v>
      </c>
      <c r="F737" s="229" t="s">
        <v>26</v>
      </c>
      <c r="G737">
        <v>2</v>
      </c>
    </row>
    <row r="738" spans="1:7" hidden="1" x14ac:dyDescent="0.2">
      <c r="A738" t="str">
        <f t="shared" si="11"/>
        <v>WiseToolsRegraDroolsASimplesMédio</v>
      </c>
      <c r="B738" s="229" t="s">
        <v>231</v>
      </c>
      <c r="C738" s="229" t="s">
        <v>218</v>
      </c>
      <c r="D738" s="229" t="s">
        <v>25</v>
      </c>
      <c r="E738" s="229" t="s">
        <v>26</v>
      </c>
      <c r="F738" s="229" t="s">
        <v>75</v>
      </c>
      <c r="G738">
        <v>4</v>
      </c>
    </row>
    <row r="739" spans="1:7" hidden="1" x14ac:dyDescent="0.2">
      <c r="A739" t="str">
        <f t="shared" si="11"/>
        <v>WiseToolsRegraDroolsASimplesComplexo</v>
      </c>
      <c r="B739" s="229" t="s">
        <v>231</v>
      </c>
      <c r="C739" s="229" t="s">
        <v>218</v>
      </c>
      <c r="D739" s="229" t="s">
        <v>25</v>
      </c>
      <c r="E739" s="229" t="s">
        <v>26</v>
      </c>
      <c r="F739" s="229" t="s">
        <v>76</v>
      </c>
      <c r="G739">
        <v>6</v>
      </c>
    </row>
    <row r="740" spans="1:7" hidden="1" x14ac:dyDescent="0.2">
      <c r="A740" t="str">
        <f t="shared" si="11"/>
        <v>WiseToolsRegraDroolsAMédioSimples</v>
      </c>
      <c r="B740" s="229" t="s">
        <v>231</v>
      </c>
      <c r="C740" s="229" t="s">
        <v>218</v>
      </c>
      <c r="D740" s="229" t="s">
        <v>25</v>
      </c>
      <c r="E740" s="229" t="s">
        <v>75</v>
      </c>
      <c r="F740" s="229" t="s">
        <v>26</v>
      </c>
      <c r="G740">
        <v>3</v>
      </c>
    </row>
    <row r="741" spans="1:7" hidden="1" x14ac:dyDescent="0.2">
      <c r="A741" t="str">
        <f t="shared" si="11"/>
        <v>WiseToolsRegraDroolsAMédioMédio</v>
      </c>
      <c r="B741" s="229" t="s">
        <v>231</v>
      </c>
      <c r="C741" s="229" t="s">
        <v>218</v>
      </c>
      <c r="D741" s="229" t="s">
        <v>25</v>
      </c>
      <c r="E741" s="229" t="s">
        <v>75</v>
      </c>
      <c r="F741" s="229" t="s">
        <v>75</v>
      </c>
      <c r="G741">
        <v>6</v>
      </c>
    </row>
    <row r="742" spans="1:7" hidden="1" x14ac:dyDescent="0.2">
      <c r="A742" t="str">
        <f t="shared" si="11"/>
        <v>WiseToolsRegraDroolsAMédioComplexo</v>
      </c>
      <c r="B742" s="229" t="s">
        <v>231</v>
      </c>
      <c r="C742" s="229" t="s">
        <v>218</v>
      </c>
      <c r="D742" s="229" t="s">
        <v>25</v>
      </c>
      <c r="E742" s="229" t="s">
        <v>75</v>
      </c>
      <c r="F742" s="229" t="s">
        <v>76</v>
      </c>
      <c r="G742">
        <v>8</v>
      </c>
    </row>
    <row r="743" spans="1:7" hidden="1" x14ac:dyDescent="0.2">
      <c r="A743" t="str">
        <f t="shared" si="11"/>
        <v>WiseToolsRegraDroolsAComplexoSimples</v>
      </c>
      <c r="B743" s="229" t="s">
        <v>231</v>
      </c>
      <c r="C743" s="229" t="s">
        <v>218</v>
      </c>
      <c r="D743" s="229" t="s">
        <v>25</v>
      </c>
      <c r="E743" s="229" t="s">
        <v>76</v>
      </c>
      <c r="F743" s="229" t="s">
        <v>26</v>
      </c>
      <c r="G743">
        <v>6</v>
      </c>
    </row>
    <row r="744" spans="1:7" hidden="1" x14ac:dyDescent="0.2">
      <c r="A744" t="str">
        <f t="shared" si="11"/>
        <v>WiseToolsRegraDroolsAComplexoMédio</v>
      </c>
      <c r="B744" s="229" t="s">
        <v>231</v>
      </c>
      <c r="C744" s="229" t="s">
        <v>218</v>
      </c>
      <c r="D744" s="229" t="s">
        <v>25</v>
      </c>
      <c r="E744" s="229" t="s">
        <v>76</v>
      </c>
      <c r="F744" s="229" t="s">
        <v>75</v>
      </c>
      <c r="G744">
        <v>8</v>
      </c>
    </row>
    <row r="745" spans="1:7" hidden="1" x14ac:dyDescent="0.2">
      <c r="A745" t="str">
        <f t="shared" si="11"/>
        <v>WiseToolsRegraDroolsAComplexoComplexo</v>
      </c>
      <c r="B745" s="229" t="s">
        <v>231</v>
      </c>
      <c r="C745" s="229" t="s">
        <v>218</v>
      </c>
      <c r="D745" s="229" t="s">
        <v>25</v>
      </c>
      <c r="E745" s="229" t="s">
        <v>76</v>
      </c>
      <c r="F745" s="229" t="s">
        <v>76</v>
      </c>
      <c r="G745">
        <v>12</v>
      </c>
    </row>
    <row r="746" spans="1:7" hidden="1" x14ac:dyDescent="0.2">
      <c r="A746" t="str">
        <f t="shared" si="11"/>
        <v>WiseToolsJUnitNSimples</v>
      </c>
      <c r="B746" s="229" t="s">
        <v>231</v>
      </c>
      <c r="C746" s="229" t="s">
        <v>219</v>
      </c>
      <c r="D746" s="229" t="s">
        <v>24</v>
      </c>
      <c r="E746" s="229" t="s">
        <v>26</v>
      </c>
      <c r="F746" s="229"/>
      <c r="G746">
        <v>3</v>
      </c>
    </row>
    <row r="747" spans="1:7" hidden="1" x14ac:dyDescent="0.2">
      <c r="A747" t="str">
        <f t="shared" si="11"/>
        <v>WiseToolsJUnitNMédio</v>
      </c>
      <c r="B747" s="229" t="s">
        <v>231</v>
      </c>
      <c r="C747" s="229" t="s">
        <v>219</v>
      </c>
      <c r="D747" s="229" t="s">
        <v>24</v>
      </c>
      <c r="E747" s="229" t="s">
        <v>75</v>
      </c>
      <c r="F747" s="229"/>
      <c r="G747">
        <v>5</v>
      </c>
    </row>
    <row r="748" spans="1:7" hidden="1" x14ac:dyDescent="0.2">
      <c r="A748" t="str">
        <f t="shared" si="11"/>
        <v>WiseToolsJUnitNComplexo</v>
      </c>
      <c r="B748" s="229" t="s">
        <v>231</v>
      </c>
      <c r="C748" s="229" t="s">
        <v>219</v>
      </c>
      <c r="D748" s="229" t="s">
        <v>24</v>
      </c>
      <c r="E748" s="229" t="s">
        <v>76</v>
      </c>
      <c r="F748" s="229"/>
      <c r="G748">
        <v>9</v>
      </c>
    </row>
    <row r="749" spans="1:7" hidden="1" x14ac:dyDescent="0.2">
      <c r="A749" t="str">
        <f t="shared" si="11"/>
        <v>WiseToolsJUnitASimplesSimples</v>
      </c>
      <c r="B749" s="229" t="s">
        <v>231</v>
      </c>
      <c r="C749" s="229" t="s">
        <v>219</v>
      </c>
      <c r="D749" s="229" t="s">
        <v>25</v>
      </c>
      <c r="E749" s="229" t="s">
        <v>26</v>
      </c>
      <c r="F749" s="229" t="s">
        <v>26</v>
      </c>
      <c r="G749">
        <v>2</v>
      </c>
    </row>
    <row r="750" spans="1:7" hidden="1" x14ac:dyDescent="0.2">
      <c r="A750" t="str">
        <f t="shared" si="11"/>
        <v>WiseToolsJUnitASimplesMédio</v>
      </c>
      <c r="B750" s="229" t="s">
        <v>231</v>
      </c>
      <c r="C750" s="229" t="s">
        <v>219</v>
      </c>
      <c r="D750" s="229" t="s">
        <v>25</v>
      </c>
      <c r="E750" s="229" t="s">
        <v>26</v>
      </c>
      <c r="F750" s="229" t="s">
        <v>75</v>
      </c>
      <c r="G750">
        <v>4</v>
      </c>
    </row>
    <row r="751" spans="1:7" hidden="1" x14ac:dyDescent="0.2">
      <c r="A751" t="str">
        <f t="shared" si="11"/>
        <v>WiseToolsJUnitASimplesComplexo</v>
      </c>
      <c r="B751" s="229" t="s">
        <v>231</v>
      </c>
      <c r="C751" s="229" t="s">
        <v>219</v>
      </c>
      <c r="D751" s="229" t="s">
        <v>25</v>
      </c>
      <c r="E751" s="229" t="s">
        <v>26</v>
      </c>
      <c r="F751" s="229" t="s">
        <v>76</v>
      </c>
      <c r="G751">
        <v>5</v>
      </c>
    </row>
    <row r="752" spans="1:7" hidden="1" x14ac:dyDescent="0.2">
      <c r="A752" t="str">
        <f t="shared" si="11"/>
        <v>WiseToolsJUnitAMédioSimples</v>
      </c>
      <c r="B752" s="229" t="s">
        <v>231</v>
      </c>
      <c r="C752" s="229" t="s">
        <v>219</v>
      </c>
      <c r="D752" s="229" t="s">
        <v>25</v>
      </c>
      <c r="E752" s="229" t="s">
        <v>75</v>
      </c>
      <c r="F752" s="229" t="s">
        <v>26</v>
      </c>
      <c r="G752">
        <v>3</v>
      </c>
    </row>
    <row r="753" spans="1:7" hidden="1" x14ac:dyDescent="0.2">
      <c r="A753" t="str">
        <f t="shared" si="11"/>
        <v>WiseToolsJUnitAMédioMédio</v>
      </c>
      <c r="B753" s="229" t="s">
        <v>231</v>
      </c>
      <c r="C753" s="229" t="s">
        <v>219</v>
      </c>
      <c r="D753" s="229" t="s">
        <v>25</v>
      </c>
      <c r="E753" s="229" t="s">
        <v>75</v>
      </c>
      <c r="F753" s="229" t="s">
        <v>75</v>
      </c>
      <c r="G753">
        <v>5</v>
      </c>
    </row>
    <row r="754" spans="1:7" hidden="1" x14ac:dyDescent="0.2">
      <c r="A754" t="str">
        <f t="shared" si="11"/>
        <v>WiseToolsJUnitAMédioComplexo</v>
      </c>
      <c r="B754" s="229" t="s">
        <v>231</v>
      </c>
      <c r="C754" s="229" t="s">
        <v>219</v>
      </c>
      <c r="D754" s="229" t="s">
        <v>25</v>
      </c>
      <c r="E754" s="229" t="s">
        <v>75</v>
      </c>
      <c r="F754" s="229" t="s">
        <v>76</v>
      </c>
      <c r="G754">
        <v>7</v>
      </c>
    </row>
    <row r="755" spans="1:7" hidden="1" x14ac:dyDescent="0.2">
      <c r="A755" t="str">
        <f t="shared" si="11"/>
        <v>WiseToolsJUnitAComplexoSimples</v>
      </c>
      <c r="B755" s="229" t="s">
        <v>231</v>
      </c>
      <c r="C755" s="229" t="s">
        <v>219</v>
      </c>
      <c r="D755" s="229" t="s">
        <v>25</v>
      </c>
      <c r="E755" s="229" t="s">
        <v>76</v>
      </c>
      <c r="F755" s="229" t="s">
        <v>26</v>
      </c>
      <c r="G755">
        <v>4</v>
      </c>
    </row>
    <row r="756" spans="1:7" hidden="1" x14ac:dyDescent="0.2">
      <c r="A756" t="str">
        <f t="shared" si="11"/>
        <v>WiseToolsJUnitAComplexoMédio</v>
      </c>
      <c r="B756" s="229" t="s">
        <v>231</v>
      </c>
      <c r="C756" s="229" t="s">
        <v>219</v>
      </c>
      <c r="D756" s="229" t="s">
        <v>25</v>
      </c>
      <c r="E756" s="229" t="s">
        <v>76</v>
      </c>
      <c r="F756" s="229" t="s">
        <v>75</v>
      </c>
      <c r="G756">
        <v>6</v>
      </c>
    </row>
    <row r="757" spans="1:7" hidden="1" x14ac:dyDescent="0.2">
      <c r="A757" t="str">
        <f t="shared" si="11"/>
        <v>WiseToolsJUnitAComplexoComplexo</v>
      </c>
      <c r="B757" s="229" t="s">
        <v>231</v>
      </c>
      <c r="C757" s="229" t="s">
        <v>219</v>
      </c>
      <c r="D757" s="229" t="s">
        <v>25</v>
      </c>
      <c r="E757" s="229" t="s">
        <v>76</v>
      </c>
      <c r="F757" s="229" t="s">
        <v>76</v>
      </c>
      <c r="G757">
        <v>8</v>
      </c>
    </row>
    <row r="758" spans="1:7" hidden="1" x14ac:dyDescent="0.2">
      <c r="A758" t="str">
        <f t="shared" si="11"/>
        <v>WiseToolsBanco de Dados (DML, DDL)NSimples</v>
      </c>
      <c r="B758" s="229" t="s">
        <v>231</v>
      </c>
      <c r="C758" s="229" t="s">
        <v>220</v>
      </c>
      <c r="D758" s="229" t="s">
        <v>24</v>
      </c>
      <c r="E758" s="229" t="s">
        <v>26</v>
      </c>
      <c r="F758" s="229"/>
      <c r="G758">
        <v>1</v>
      </c>
    </row>
    <row r="759" spans="1:7" hidden="1" x14ac:dyDescent="0.2">
      <c r="A759" t="str">
        <f t="shared" si="11"/>
        <v>WiseToolsBanco de Dados (DML, DDL)NMédio</v>
      </c>
      <c r="B759" s="229" t="s">
        <v>231</v>
      </c>
      <c r="C759" s="229" t="s">
        <v>220</v>
      </c>
      <c r="D759" s="229" t="s">
        <v>24</v>
      </c>
      <c r="E759" s="229" t="s">
        <v>75</v>
      </c>
      <c r="F759" s="229"/>
      <c r="G759">
        <v>3</v>
      </c>
    </row>
    <row r="760" spans="1:7" hidden="1" x14ac:dyDescent="0.2">
      <c r="A760" t="str">
        <f t="shared" si="11"/>
        <v>WiseToolsBanco de Dados (DML, DDL)NComplexo</v>
      </c>
      <c r="B760" s="229" t="s">
        <v>231</v>
      </c>
      <c r="C760" s="229" t="s">
        <v>220</v>
      </c>
      <c r="D760" s="229" t="s">
        <v>24</v>
      </c>
      <c r="E760" s="229" t="s">
        <v>76</v>
      </c>
      <c r="F760" s="229"/>
      <c r="G760">
        <v>5</v>
      </c>
    </row>
    <row r="761" spans="1:7" hidden="1" x14ac:dyDescent="0.2">
      <c r="A761" t="str">
        <f t="shared" si="11"/>
        <v>WiseToolsBanco de Dados (DML, DDL)ASimplesSimples</v>
      </c>
      <c r="B761" s="229" t="s">
        <v>231</v>
      </c>
      <c r="C761" s="229" t="s">
        <v>220</v>
      </c>
      <c r="D761" s="229" t="s">
        <v>25</v>
      </c>
      <c r="E761" s="229" t="s">
        <v>26</v>
      </c>
      <c r="F761" s="229" t="s">
        <v>26</v>
      </c>
      <c r="G761">
        <v>1</v>
      </c>
    </row>
    <row r="762" spans="1:7" hidden="1" x14ac:dyDescent="0.2">
      <c r="A762" t="str">
        <f t="shared" si="11"/>
        <v>WiseToolsBanco de Dados (DML, DDL)ASimplesMédio</v>
      </c>
      <c r="B762" s="229" t="s">
        <v>231</v>
      </c>
      <c r="C762" s="229" t="s">
        <v>220</v>
      </c>
      <c r="D762" s="229" t="s">
        <v>25</v>
      </c>
      <c r="E762" s="229" t="s">
        <v>26</v>
      </c>
      <c r="F762" s="229" t="s">
        <v>75</v>
      </c>
      <c r="G762">
        <v>3</v>
      </c>
    </row>
    <row r="763" spans="1:7" hidden="1" x14ac:dyDescent="0.2">
      <c r="A763" t="str">
        <f t="shared" si="11"/>
        <v>WiseToolsBanco de Dados (DML, DDL)ASimplesComplexo</v>
      </c>
      <c r="B763" s="229" t="s">
        <v>231</v>
      </c>
      <c r="C763" s="229" t="s">
        <v>220</v>
      </c>
      <c r="D763" s="229" t="s">
        <v>25</v>
      </c>
      <c r="E763" s="229" t="s">
        <v>26</v>
      </c>
      <c r="F763" s="229" t="s">
        <v>76</v>
      </c>
      <c r="G763">
        <v>5</v>
      </c>
    </row>
    <row r="764" spans="1:7" hidden="1" x14ac:dyDescent="0.2">
      <c r="A764" t="str">
        <f t="shared" si="11"/>
        <v>WiseToolsBanco de Dados (DML, DDL)AMédioSimples</v>
      </c>
      <c r="B764" s="229" t="s">
        <v>231</v>
      </c>
      <c r="C764" s="229" t="s">
        <v>220</v>
      </c>
      <c r="D764" s="229" t="s">
        <v>25</v>
      </c>
      <c r="E764" s="229" t="s">
        <v>75</v>
      </c>
      <c r="F764" s="229" t="s">
        <v>26</v>
      </c>
      <c r="G764">
        <v>3</v>
      </c>
    </row>
    <row r="765" spans="1:7" hidden="1" x14ac:dyDescent="0.2">
      <c r="A765" t="str">
        <f t="shared" si="11"/>
        <v>WiseToolsBanco de Dados (DML, DDL)AMédioMédio</v>
      </c>
      <c r="B765" s="229" t="s">
        <v>231</v>
      </c>
      <c r="C765" s="229" t="s">
        <v>220</v>
      </c>
      <c r="D765" s="229" t="s">
        <v>25</v>
      </c>
      <c r="E765" s="229" t="s">
        <v>75</v>
      </c>
      <c r="F765" s="229" t="s">
        <v>75</v>
      </c>
      <c r="G765">
        <v>6</v>
      </c>
    </row>
    <row r="766" spans="1:7" hidden="1" x14ac:dyDescent="0.2">
      <c r="A766" t="str">
        <f t="shared" si="11"/>
        <v>WiseToolsBanco de Dados (DML, DDL)AMédioComplexo</v>
      </c>
      <c r="B766" s="229" t="s">
        <v>231</v>
      </c>
      <c r="C766" s="229" t="s">
        <v>220</v>
      </c>
      <c r="D766" s="229" t="s">
        <v>25</v>
      </c>
      <c r="E766" s="229" t="s">
        <v>75</v>
      </c>
      <c r="F766" s="229" t="s">
        <v>76</v>
      </c>
      <c r="G766">
        <v>8</v>
      </c>
    </row>
    <row r="767" spans="1:7" hidden="1" x14ac:dyDescent="0.2">
      <c r="A767" t="str">
        <f t="shared" si="11"/>
        <v>WiseToolsBanco de Dados (DML, DDL)AComplexoSimples</v>
      </c>
      <c r="B767" s="229" t="s">
        <v>231</v>
      </c>
      <c r="C767" s="229" t="s">
        <v>220</v>
      </c>
      <c r="D767" s="229" t="s">
        <v>25</v>
      </c>
      <c r="E767" s="229" t="s">
        <v>76</v>
      </c>
      <c r="F767" s="229" t="s">
        <v>26</v>
      </c>
      <c r="G767">
        <v>5</v>
      </c>
    </row>
    <row r="768" spans="1:7" hidden="1" x14ac:dyDescent="0.2">
      <c r="A768" t="str">
        <f t="shared" si="11"/>
        <v>WiseToolsBanco de Dados (DML, DDL)AComplexoMédio</v>
      </c>
      <c r="B768" s="229" t="s">
        <v>231</v>
      </c>
      <c r="C768" s="229" t="s">
        <v>220</v>
      </c>
      <c r="D768" s="229" t="s">
        <v>25</v>
      </c>
      <c r="E768" s="229" t="s">
        <v>76</v>
      </c>
      <c r="F768" s="229" t="s">
        <v>75</v>
      </c>
      <c r="G768">
        <v>8</v>
      </c>
    </row>
    <row r="769" spans="1:7" hidden="1" x14ac:dyDescent="0.2">
      <c r="A769" t="str">
        <f t="shared" si="11"/>
        <v>WiseToolsBanco de Dados (DML, DDL)AComplexoComplexo</v>
      </c>
      <c r="B769" s="229" t="s">
        <v>231</v>
      </c>
      <c r="C769" s="229" t="s">
        <v>220</v>
      </c>
      <c r="D769" s="229" t="s">
        <v>25</v>
      </c>
      <c r="E769" s="229" t="s">
        <v>76</v>
      </c>
      <c r="F769" s="229" t="s">
        <v>76</v>
      </c>
      <c r="G769">
        <v>10</v>
      </c>
    </row>
    <row r="770" spans="1:7" hidden="1" x14ac:dyDescent="0.2">
      <c r="A770" t="str">
        <f t="shared" si="11"/>
        <v>WiseToolsBanco de Dados (PL/SQL)NSimples</v>
      </c>
      <c r="B770" s="229" t="s">
        <v>231</v>
      </c>
      <c r="C770" s="229" t="s">
        <v>203</v>
      </c>
      <c r="D770" s="229" t="s">
        <v>24</v>
      </c>
      <c r="E770" s="229" t="s">
        <v>26</v>
      </c>
      <c r="F770" s="229"/>
      <c r="G770">
        <v>4</v>
      </c>
    </row>
    <row r="771" spans="1:7" hidden="1" x14ac:dyDescent="0.2">
      <c r="A771" t="str">
        <f t="shared" ref="A771:A834" si="12">B771&amp;C771&amp;D771&amp;E771&amp;F771</f>
        <v>WiseToolsBanco de Dados (PL/SQL)NMédio</v>
      </c>
      <c r="B771" s="229" t="s">
        <v>231</v>
      </c>
      <c r="C771" s="229" t="s">
        <v>203</v>
      </c>
      <c r="D771" s="229" t="s">
        <v>24</v>
      </c>
      <c r="E771" s="229" t="s">
        <v>75</v>
      </c>
      <c r="F771" s="229"/>
      <c r="G771">
        <v>8</v>
      </c>
    </row>
    <row r="772" spans="1:7" hidden="1" x14ac:dyDescent="0.2">
      <c r="A772" t="str">
        <f t="shared" si="12"/>
        <v>WiseToolsBanco de Dados (PL/SQL)NComplexo</v>
      </c>
      <c r="B772" s="229" t="s">
        <v>231</v>
      </c>
      <c r="C772" s="229" t="s">
        <v>203</v>
      </c>
      <c r="D772" s="229" t="s">
        <v>24</v>
      </c>
      <c r="E772" s="229" t="s">
        <v>76</v>
      </c>
      <c r="F772" s="229"/>
      <c r="G772">
        <v>12</v>
      </c>
    </row>
    <row r="773" spans="1:7" hidden="1" x14ac:dyDescent="0.2">
      <c r="A773" t="str">
        <f t="shared" si="12"/>
        <v>WiseToolsBanco de Dados (PL/SQL)ASimplesSimples</v>
      </c>
      <c r="B773" s="229" t="s">
        <v>231</v>
      </c>
      <c r="C773" s="229" t="s">
        <v>203</v>
      </c>
      <c r="D773" s="229" t="s">
        <v>25</v>
      </c>
      <c r="E773" s="229" t="s">
        <v>26</v>
      </c>
      <c r="F773" s="229" t="s">
        <v>26</v>
      </c>
      <c r="G773">
        <v>2</v>
      </c>
    </row>
    <row r="774" spans="1:7" hidden="1" x14ac:dyDescent="0.2">
      <c r="A774" t="str">
        <f t="shared" si="12"/>
        <v>WiseToolsBanco de Dados (PL/SQL)ASimplesMédio</v>
      </c>
      <c r="B774" s="229" t="s">
        <v>231</v>
      </c>
      <c r="C774" s="229" t="s">
        <v>203</v>
      </c>
      <c r="D774" s="229" t="s">
        <v>25</v>
      </c>
      <c r="E774" s="229" t="s">
        <v>26</v>
      </c>
      <c r="F774" s="229" t="s">
        <v>75</v>
      </c>
      <c r="G774">
        <v>4</v>
      </c>
    </row>
    <row r="775" spans="1:7" hidden="1" x14ac:dyDescent="0.2">
      <c r="A775" t="str">
        <f t="shared" si="12"/>
        <v>WiseToolsBanco de Dados (PL/SQL)ASimplesComplexo</v>
      </c>
      <c r="B775" s="229" t="s">
        <v>231</v>
      </c>
      <c r="C775" s="229" t="s">
        <v>203</v>
      </c>
      <c r="D775" s="229" t="s">
        <v>25</v>
      </c>
      <c r="E775" s="229" t="s">
        <v>26</v>
      </c>
      <c r="F775" s="229" t="s">
        <v>76</v>
      </c>
      <c r="G775">
        <v>6</v>
      </c>
    </row>
    <row r="776" spans="1:7" hidden="1" x14ac:dyDescent="0.2">
      <c r="A776" t="str">
        <f t="shared" si="12"/>
        <v>WiseToolsBanco de Dados (PL/SQL)AMédioSimples</v>
      </c>
      <c r="B776" s="229" t="s">
        <v>231</v>
      </c>
      <c r="C776" s="229" t="s">
        <v>203</v>
      </c>
      <c r="D776" s="229" t="s">
        <v>25</v>
      </c>
      <c r="E776" s="229" t="s">
        <v>75</v>
      </c>
      <c r="F776" s="229" t="s">
        <v>26</v>
      </c>
      <c r="G776">
        <v>4</v>
      </c>
    </row>
    <row r="777" spans="1:7" hidden="1" x14ac:dyDescent="0.2">
      <c r="A777" t="str">
        <f t="shared" si="12"/>
        <v>WiseToolsBanco de Dados (PL/SQL)AMédioMédio</v>
      </c>
      <c r="B777" s="229" t="s">
        <v>231</v>
      </c>
      <c r="C777" s="229" t="s">
        <v>203</v>
      </c>
      <c r="D777" s="229" t="s">
        <v>25</v>
      </c>
      <c r="E777" s="229" t="s">
        <v>75</v>
      </c>
      <c r="F777" s="229" t="s">
        <v>75</v>
      </c>
      <c r="G777">
        <v>6</v>
      </c>
    </row>
    <row r="778" spans="1:7" hidden="1" x14ac:dyDescent="0.2">
      <c r="A778" t="str">
        <f t="shared" si="12"/>
        <v>WiseToolsBanco de Dados (PL/SQL)AMédioComplexo</v>
      </c>
      <c r="B778" s="229" t="s">
        <v>231</v>
      </c>
      <c r="C778" s="229" t="s">
        <v>203</v>
      </c>
      <c r="D778" s="229" t="s">
        <v>25</v>
      </c>
      <c r="E778" s="229" t="s">
        <v>75</v>
      </c>
      <c r="F778" s="229" t="s">
        <v>76</v>
      </c>
      <c r="G778">
        <v>9</v>
      </c>
    </row>
    <row r="779" spans="1:7" hidden="1" x14ac:dyDescent="0.2">
      <c r="A779" t="str">
        <f t="shared" si="12"/>
        <v>WiseToolsBanco de Dados (PL/SQL)AComplexoSimples</v>
      </c>
      <c r="B779" s="229" t="s">
        <v>231</v>
      </c>
      <c r="C779" s="229" t="s">
        <v>203</v>
      </c>
      <c r="D779" s="229" t="s">
        <v>25</v>
      </c>
      <c r="E779" s="229" t="s">
        <v>76</v>
      </c>
      <c r="F779" s="229" t="s">
        <v>26</v>
      </c>
      <c r="G779">
        <v>7</v>
      </c>
    </row>
    <row r="780" spans="1:7" hidden="1" x14ac:dyDescent="0.2">
      <c r="A780" t="str">
        <f t="shared" si="12"/>
        <v>WiseToolsBanco de Dados (PL/SQL)AComplexoMédio</v>
      </c>
      <c r="B780" s="229" t="s">
        <v>231</v>
      </c>
      <c r="C780" s="229" t="s">
        <v>203</v>
      </c>
      <c r="D780" s="229" t="s">
        <v>25</v>
      </c>
      <c r="E780" s="229" t="s">
        <v>76</v>
      </c>
      <c r="F780" s="229" t="s">
        <v>75</v>
      </c>
      <c r="G780">
        <v>9</v>
      </c>
    </row>
    <row r="781" spans="1:7" hidden="1" x14ac:dyDescent="0.2">
      <c r="A781" t="str">
        <f t="shared" si="12"/>
        <v>WiseToolsBanco de Dados (PL/SQL)AComplexoComplexo</v>
      </c>
      <c r="B781" s="229" t="s">
        <v>231</v>
      </c>
      <c r="C781" s="229" t="s">
        <v>203</v>
      </c>
      <c r="D781" s="229" t="s">
        <v>25</v>
      </c>
      <c r="E781" s="229" t="s">
        <v>76</v>
      </c>
      <c r="F781" s="229" t="s">
        <v>76</v>
      </c>
      <c r="G781">
        <v>12</v>
      </c>
    </row>
    <row r="782" spans="1:7" hidden="1" x14ac:dyDescent="0.2">
      <c r="A782" t="str">
        <f t="shared" si="12"/>
        <v>WiseToolsJAVA: Interface WebServiceNSimples</v>
      </c>
      <c r="B782" s="229" t="s">
        <v>231</v>
      </c>
      <c r="C782" s="229" t="s">
        <v>204</v>
      </c>
      <c r="D782" s="229" t="s">
        <v>24</v>
      </c>
      <c r="E782" s="229" t="s">
        <v>26</v>
      </c>
      <c r="F782" s="229"/>
      <c r="G782">
        <v>3</v>
      </c>
    </row>
    <row r="783" spans="1:7" hidden="1" x14ac:dyDescent="0.2">
      <c r="A783" t="str">
        <f t="shared" si="12"/>
        <v>WiseToolsJAVA: Interface WebServiceNMédio</v>
      </c>
      <c r="B783" s="229" t="s">
        <v>231</v>
      </c>
      <c r="C783" s="229" t="s">
        <v>204</v>
      </c>
      <c r="D783" s="229" t="s">
        <v>24</v>
      </c>
      <c r="E783" s="229" t="s">
        <v>75</v>
      </c>
      <c r="F783" s="229"/>
      <c r="G783">
        <v>5</v>
      </c>
    </row>
    <row r="784" spans="1:7" hidden="1" x14ac:dyDescent="0.2">
      <c r="A784" t="str">
        <f t="shared" si="12"/>
        <v>WiseToolsJAVA: Interface WebServiceNComplexo</v>
      </c>
      <c r="B784" s="229" t="s">
        <v>231</v>
      </c>
      <c r="C784" s="229" t="s">
        <v>204</v>
      </c>
      <c r="D784" s="229" t="s">
        <v>24</v>
      </c>
      <c r="E784" s="229" t="s">
        <v>76</v>
      </c>
      <c r="F784" s="229"/>
      <c r="G784">
        <v>8</v>
      </c>
    </row>
    <row r="785" spans="1:7" hidden="1" x14ac:dyDescent="0.2">
      <c r="A785" t="str">
        <f t="shared" si="12"/>
        <v>WiseToolsJAVA: Interface WebServiceASimplesSimples</v>
      </c>
      <c r="B785" s="229" t="s">
        <v>231</v>
      </c>
      <c r="C785" s="229" t="s">
        <v>204</v>
      </c>
      <c r="D785" s="229" t="s">
        <v>25</v>
      </c>
      <c r="E785" s="229" t="s">
        <v>26</v>
      </c>
      <c r="F785" s="229" t="s">
        <v>26</v>
      </c>
      <c r="G785">
        <v>2</v>
      </c>
    </row>
    <row r="786" spans="1:7" hidden="1" x14ac:dyDescent="0.2">
      <c r="A786" t="str">
        <f t="shared" si="12"/>
        <v>WiseToolsJAVA: Interface WebServiceASimplesMédio</v>
      </c>
      <c r="B786" s="229" t="s">
        <v>231</v>
      </c>
      <c r="C786" s="229" t="s">
        <v>204</v>
      </c>
      <c r="D786" s="229" t="s">
        <v>25</v>
      </c>
      <c r="E786" s="229" t="s">
        <v>26</v>
      </c>
      <c r="F786" s="229" t="s">
        <v>75</v>
      </c>
      <c r="G786">
        <v>3</v>
      </c>
    </row>
    <row r="787" spans="1:7" hidden="1" x14ac:dyDescent="0.2">
      <c r="A787" t="str">
        <f t="shared" si="12"/>
        <v>WiseToolsJAVA: Interface WebServiceASimplesComplexo</v>
      </c>
      <c r="B787" s="229" t="s">
        <v>231</v>
      </c>
      <c r="C787" s="229" t="s">
        <v>204</v>
      </c>
      <c r="D787" s="229" t="s">
        <v>25</v>
      </c>
      <c r="E787" s="229" t="s">
        <v>26</v>
      </c>
      <c r="F787" s="229" t="s">
        <v>76</v>
      </c>
      <c r="G787">
        <v>4</v>
      </c>
    </row>
    <row r="788" spans="1:7" hidden="1" x14ac:dyDescent="0.2">
      <c r="A788" t="str">
        <f t="shared" si="12"/>
        <v>WiseToolsJAVA: Interface WebServiceAMédioSimples</v>
      </c>
      <c r="B788" s="229" t="s">
        <v>231</v>
      </c>
      <c r="C788" s="229" t="s">
        <v>204</v>
      </c>
      <c r="D788" s="229" t="s">
        <v>25</v>
      </c>
      <c r="E788" s="229" t="s">
        <v>75</v>
      </c>
      <c r="F788" s="229" t="s">
        <v>26</v>
      </c>
      <c r="G788">
        <v>2</v>
      </c>
    </row>
    <row r="789" spans="1:7" hidden="1" x14ac:dyDescent="0.2">
      <c r="A789" t="str">
        <f t="shared" si="12"/>
        <v>WiseToolsJAVA: Interface WebServiceAMédioMédio</v>
      </c>
      <c r="B789" s="229" t="s">
        <v>231</v>
      </c>
      <c r="C789" s="229" t="s">
        <v>204</v>
      </c>
      <c r="D789" s="229" t="s">
        <v>25</v>
      </c>
      <c r="E789" s="229" t="s">
        <v>75</v>
      </c>
      <c r="F789" s="229" t="s">
        <v>75</v>
      </c>
      <c r="G789">
        <v>5</v>
      </c>
    </row>
    <row r="790" spans="1:7" hidden="1" x14ac:dyDescent="0.2">
      <c r="A790" t="str">
        <f t="shared" si="12"/>
        <v>WiseToolsJAVA: Interface WebServiceAMédioComplexo</v>
      </c>
      <c r="B790" s="229" t="s">
        <v>231</v>
      </c>
      <c r="C790" s="229" t="s">
        <v>204</v>
      </c>
      <c r="D790" s="229" t="s">
        <v>25</v>
      </c>
      <c r="E790" s="229" t="s">
        <v>75</v>
      </c>
      <c r="F790" s="229" t="s">
        <v>76</v>
      </c>
      <c r="G790">
        <v>8</v>
      </c>
    </row>
    <row r="791" spans="1:7" hidden="1" x14ac:dyDescent="0.2">
      <c r="A791" t="str">
        <f t="shared" si="12"/>
        <v>WiseToolsJAVA: Interface WebServiceAComplexoSimples</v>
      </c>
      <c r="B791" s="229" t="s">
        <v>231</v>
      </c>
      <c r="C791" s="229" t="s">
        <v>204</v>
      </c>
      <c r="D791" s="229" t="s">
        <v>25</v>
      </c>
      <c r="E791" s="229" t="s">
        <v>76</v>
      </c>
      <c r="F791" s="229" t="s">
        <v>26</v>
      </c>
      <c r="G791">
        <v>5</v>
      </c>
    </row>
    <row r="792" spans="1:7" hidden="1" x14ac:dyDescent="0.2">
      <c r="A792" t="str">
        <f t="shared" si="12"/>
        <v>WiseToolsJAVA: Interface WebServiceAComplexoMédio</v>
      </c>
      <c r="B792" s="229" t="s">
        <v>231</v>
      </c>
      <c r="C792" s="229" t="s">
        <v>204</v>
      </c>
      <c r="D792" s="229" t="s">
        <v>25</v>
      </c>
      <c r="E792" s="229" t="s">
        <v>76</v>
      </c>
      <c r="F792" s="229" t="s">
        <v>75</v>
      </c>
      <c r="G792">
        <v>7</v>
      </c>
    </row>
    <row r="793" spans="1:7" hidden="1" x14ac:dyDescent="0.2">
      <c r="A793" t="str">
        <f t="shared" si="12"/>
        <v>WiseToolsJAVA: Interface WebServiceAComplexoComplexo</v>
      </c>
      <c r="B793" s="229" t="s">
        <v>231</v>
      </c>
      <c r="C793" s="229" t="s">
        <v>204</v>
      </c>
      <c r="D793" s="229" t="s">
        <v>25</v>
      </c>
      <c r="E793" s="229" t="s">
        <v>76</v>
      </c>
      <c r="F793" s="229" t="s">
        <v>76</v>
      </c>
      <c r="G793">
        <v>9</v>
      </c>
    </row>
    <row r="794" spans="1:7" hidden="1" x14ac:dyDescent="0.2">
      <c r="A794" t="str">
        <f t="shared" si="12"/>
        <v>WiseToolsJAVA: Transformação de ObjetosNSimples</v>
      </c>
      <c r="B794" s="229" t="s">
        <v>231</v>
      </c>
      <c r="C794" s="229" t="s">
        <v>205</v>
      </c>
      <c r="D794" s="229" t="s">
        <v>24</v>
      </c>
      <c r="E794" s="229" t="s">
        <v>26</v>
      </c>
      <c r="F794" s="229"/>
      <c r="G794">
        <v>1</v>
      </c>
    </row>
    <row r="795" spans="1:7" hidden="1" x14ac:dyDescent="0.2">
      <c r="A795" t="str">
        <f t="shared" si="12"/>
        <v>WiseToolsJAVA: Transformação de ObjetosNMédio</v>
      </c>
      <c r="B795" s="229" t="s">
        <v>231</v>
      </c>
      <c r="C795" s="229" t="s">
        <v>205</v>
      </c>
      <c r="D795" s="229" t="s">
        <v>24</v>
      </c>
      <c r="E795" s="229" t="s">
        <v>75</v>
      </c>
      <c r="F795" s="229"/>
      <c r="G795">
        <v>3</v>
      </c>
    </row>
    <row r="796" spans="1:7" hidden="1" x14ac:dyDescent="0.2">
      <c r="A796" t="str">
        <f t="shared" si="12"/>
        <v>WiseToolsJAVA: Transformação de ObjetosNComplexo</v>
      </c>
      <c r="B796" s="229" t="s">
        <v>231</v>
      </c>
      <c r="C796" s="229" t="s">
        <v>205</v>
      </c>
      <c r="D796" s="229" t="s">
        <v>24</v>
      </c>
      <c r="E796" s="229" t="s">
        <v>76</v>
      </c>
      <c r="F796" s="229"/>
      <c r="G796">
        <v>5</v>
      </c>
    </row>
    <row r="797" spans="1:7" hidden="1" x14ac:dyDescent="0.2">
      <c r="A797" t="str">
        <f t="shared" si="12"/>
        <v>WiseToolsJAVA: Transformação de ObjetosASimplesSimples</v>
      </c>
      <c r="B797" s="229" t="s">
        <v>231</v>
      </c>
      <c r="C797" s="229" t="s">
        <v>205</v>
      </c>
      <c r="D797" s="229" t="s">
        <v>25</v>
      </c>
      <c r="E797" s="229" t="s">
        <v>26</v>
      </c>
      <c r="F797" s="229" t="s">
        <v>26</v>
      </c>
      <c r="G797">
        <v>1</v>
      </c>
    </row>
    <row r="798" spans="1:7" hidden="1" x14ac:dyDescent="0.2">
      <c r="A798" t="str">
        <f t="shared" si="12"/>
        <v>WiseToolsJAVA: Transformação de ObjetosASimplesMédio</v>
      </c>
      <c r="B798" s="229" t="s">
        <v>231</v>
      </c>
      <c r="C798" s="229" t="s">
        <v>205</v>
      </c>
      <c r="D798" s="229" t="s">
        <v>25</v>
      </c>
      <c r="E798" s="229" t="s">
        <v>26</v>
      </c>
      <c r="F798" s="229" t="s">
        <v>75</v>
      </c>
      <c r="G798">
        <v>2</v>
      </c>
    </row>
    <row r="799" spans="1:7" hidden="1" x14ac:dyDescent="0.2">
      <c r="A799" t="str">
        <f t="shared" si="12"/>
        <v>WiseToolsJAVA: Transformação de ObjetosASimplesComplexo</v>
      </c>
      <c r="B799" s="229" t="s">
        <v>231</v>
      </c>
      <c r="C799" s="229" t="s">
        <v>205</v>
      </c>
      <c r="D799" s="229" t="s">
        <v>25</v>
      </c>
      <c r="E799" s="229" t="s">
        <v>26</v>
      </c>
      <c r="F799" s="229" t="s">
        <v>76</v>
      </c>
      <c r="G799">
        <v>4</v>
      </c>
    </row>
    <row r="800" spans="1:7" hidden="1" x14ac:dyDescent="0.2">
      <c r="A800" t="str">
        <f t="shared" si="12"/>
        <v>WiseToolsJAVA: Transformação de ObjetosAMédioSimples</v>
      </c>
      <c r="B800" s="229" t="s">
        <v>231</v>
      </c>
      <c r="C800" s="229" t="s">
        <v>205</v>
      </c>
      <c r="D800" s="229" t="s">
        <v>25</v>
      </c>
      <c r="E800" s="229" t="s">
        <v>75</v>
      </c>
      <c r="F800" s="229" t="s">
        <v>26</v>
      </c>
      <c r="G800">
        <v>3</v>
      </c>
    </row>
    <row r="801" spans="1:7" hidden="1" x14ac:dyDescent="0.2">
      <c r="A801" t="str">
        <f t="shared" si="12"/>
        <v>WiseToolsJAVA: Transformação de ObjetosAMédioMédio</v>
      </c>
      <c r="B801" s="229" t="s">
        <v>231</v>
      </c>
      <c r="C801" s="229" t="s">
        <v>205</v>
      </c>
      <c r="D801" s="229" t="s">
        <v>25</v>
      </c>
      <c r="E801" s="229" t="s">
        <v>75</v>
      </c>
      <c r="F801" s="229" t="s">
        <v>75</v>
      </c>
      <c r="G801">
        <v>5</v>
      </c>
    </row>
    <row r="802" spans="1:7" hidden="1" x14ac:dyDescent="0.2">
      <c r="A802" t="str">
        <f t="shared" si="12"/>
        <v>WiseToolsJAVA: Transformação de ObjetosAMédioComplexo</v>
      </c>
      <c r="B802" s="229" t="s">
        <v>231</v>
      </c>
      <c r="C802" s="229" t="s">
        <v>205</v>
      </c>
      <c r="D802" s="229" t="s">
        <v>25</v>
      </c>
      <c r="E802" s="229" t="s">
        <v>75</v>
      </c>
      <c r="F802" s="229" t="s">
        <v>76</v>
      </c>
      <c r="G802">
        <v>6</v>
      </c>
    </row>
    <row r="803" spans="1:7" hidden="1" x14ac:dyDescent="0.2">
      <c r="A803" t="str">
        <f t="shared" si="12"/>
        <v>WiseToolsJAVA: Transformação de ObjetosAComplexoSimples</v>
      </c>
      <c r="B803" s="229" t="s">
        <v>231</v>
      </c>
      <c r="C803" s="229" t="s">
        <v>205</v>
      </c>
      <c r="D803" s="229" t="s">
        <v>25</v>
      </c>
      <c r="E803" s="229" t="s">
        <v>76</v>
      </c>
      <c r="F803" s="229" t="s">
        <v>26</v>
      </c>
      <c r="G803">
        <v>4</v>
      </c>
    </row>
    <row r="804" spans="1:7" hidden="1" x14ac:dyDescent="0.2">
      <c r="A804" t="str">
        <f t="shared" si="12"/>
        <v>WiseToolsJAVA: Transformação de ObjetosAComplexoMédio</v>
      </c>
      <c r="B804" s="229" t="s">
        <v>231</v>
      </c>
      <c r="C804" s="229" t="s">
        <v>205</v>
      </c>
      <c r="D804" s="229" t="s">
        <v>25</v>
      </c>
      <c r="E804" s="229" t="s">
        <v>76</v>
      </c>
      <c r="F804" s="229" t="s">
        <v>75</v>
      </c>
      <c r="G804">
        <v>6</v>
      </c>
    </row>
    <row r="805" spans="1:7" hidden="1" x14ac:dyDescent="0.2">
      <c r="A805" t="str">
        <f t="shared" si="12"/>
        <v>WiseToolsJAVA: Transformação de ObjetosAComplexoComplexo</v>
      </c>
      <c r="B805" s="229" t="s">
        <v>231</v>
      </c>
      <c r="C805" s="229" t="s">
        <v>205</v>
      </c>
      <c r="D805" s="229" t="s">
        <v>25</v>
      </c>
      <c r="E805" s="229" t="s">
        <v>76</v>
      </c>
      <c r="F805" s="229" t="s">
        <v>76</v>
      </c>
      <c r="G805">
        <v>8</v>
      </c>
    </row>
    <row r="806" spans="1:7" hidden="1" x14ac:dyDescent="0.2">
      <c r="A806" t="str">
        <f t="shared" si="12"/>
        <v>WiseToolsJAVA: Métodos de Negócio (Controller)NSimples</v>
      </c>
      <c r="B806" s="229" t="s">
        <v>231</v>
      </c>
      <c r="C806" s="229" t="s">
        <v>206</v>
      </c>
      <c r="D806" s="229" t="s">
        <v>24</v>
      </c>
      <c r="E806" s="229" t="s">
        <v>26</v>
      </c>
      <c r="F806" s="229"/>
      <c r="G806">
        <v>8</v>
      </c>
    </row>
    <row r="807" spans="1:7" hidden="1" x14ac:dyDescent="0.2">
      <c r="A807" t="str">
        <f t="shared" si="12"/>
        <v>WiseToolsJAVA: Métodos de Negócio (Controller)NMédio</v>
      </c>
      <c r="B807" s="229" t="s">
        <v>231</v>
      </c>
      <c r="C807" s="229" t="s">
        <v>206</v>
      </c>
      <c r="D807" s="229" t="s">
        <v>24</v>
      </c>
      <c r="E807" s="229" t="s">
        <v>75</v>
      </c>
      <c r="F807" s="229"/>
      <c r="G807">
        <v>16</v>
      </c>
    </row>
    <row r="808" spans="1:7" hidden="1" x14ac:dyDescent="0.2">
      <c r="A808" t="str">
        <f t="shared" si="12"/>
        <v>WiseToolsJAVA: Métodos de Negócio (Controller)NComplexo</v>
      </c>
      <c r="B808" s="229" t="s">
        <v>231</v>
      </c>
      <c r="C808" s="229" t="s">
        <v>206</v>
      </c>
      <c r="D808" s="229" t="s">
        <v>24</v>
      </c>
      <c r="E808" s="229" t="s">
        <v>76</v>
      </c>
      <c r="F808" s="229"/>
      <c r="G808">
        <v>24</v>
      </c>
    </row>
    <row r="809" spans="1:7" hidden="1" x14ac:dyDescent="0.2">
      <c r="A809" t="str">
        <f t="shared" si="12"/>
        <v>WiseToolsJAVA: Métodos de Negócio (Controller)ASimplesSimples</v>
      </c>
      <c r="B809" s="229" t="s">
        <v>231</v>
      </c>
      <c r="C809" s="229" t="s">
        <v>206</v>
      </c>
      <c r="D809" s="229" t="s">
        <v>25</v>
      </c>
      <c r="E809" s="229" t="s">
        <v>26</v>
      </c>
      <c r="F809" s="229" t="s">
        <v>26</v>
      </c>
      <c r="G809">
        <v>3</v>
      </c>
    </row>
    <row r="810" spans="1:7" hidden="1" x14ac:dyDescent="0.2">
      <c r="A810" t="str">
        <f t="shared" si="12"/>
        <v>WiseToolsJAVA: Métodos de Negócio (Controller)ASimplesMédio</v>
      </c>
      <c r="B810" s="229" t="s">
        <v>231</v>
      </c>
      <c r="C810" s="229" t="s">
        <v>206</v>
      </c>
      <c r="D810" s="229" t="s">
        <v>25</v>
      </c>
      <c r="E810" s="229" t="s">
        <v>26</v>
      </c>
      <c r="F810" s="229" t="s">
        <v>75</v>
      </c>
      <c r="G810">
        <v>5</v>
      </c>
    </row>
    <row r="811" spans="1:7" hidden="1" x14ac:dyDescent="0.2">
      <c r="A811" t="str">
        <f t="shared" si="12"/>
        <v>WiseToolsJAVA: Métodos de Negócio (Controller)ASimplesComplexo</v>
      </c>
      <c r="B811" s="229" t="s">
        <v>231</v>
      </c>
      <c r="C811" s="229" t="s">
        <v>206</v>
      </c>
      <c r="D811" s="229" t="s">
        <v>25</v>
      </c>
      <c r="E811" s="229" t="s">
        <v>26</v>
      </c>
      <c r="F811" s="229" t="s">
        <v>76</v>
      </c>
      <c r="G811">
        <v>7</v>
      </c>
    </row>
    <row r="812" spans="1:7" hidden="1" x14ac:dyDescent="0.2">
      <c r="A812" t="str">
        <f t="shared" si="12"/>
        <v>WiseToolsJAVA: Métodos de Negócio (Controller)AMédioSimples</v>
      </c>
      <c r="B812" s="229" t="s">
        <v>231</v>
      </c>
      <c r="C812" s="229" t="s">
        <v>206</v>
      </c>
      <c r="D812" s="229" t="s">
        <v>25</v>
      </c>
      <c r="E812" s="229" t="s">
        <v>75</v>
      </c>
      <c r="F812" s="229" t="s">
        <v>26</v>
      </c>
      <c r="G812" s="229">
        <v>8</v>
      </c>
    </row>
    <row r="813" spans="1:7" hidden="1" x14ac:dyDescent="0.2">
      <c r="A813" t="str">
        <f t="shared" si="12"/>
        <v>WiseToolsJAVA: Métodos de Negócio (Controller)AMédioMédio</v>
      </c>
      <c r="B813" s="229" t="s">
        <v>231</v>
      </c>
      <c r="C813" s="229" t="s">
        <v>206</v>
      </c>
      <c r="D813" s="229" t="s">
        <v>25</v>
      </c>
      <c r="E813" s="229" t="s">
        <v>75</v>
      </c>
      <c r="F813" s="229" t="s">
        <v>75</v>
      </c>
      <c r="G813">
        <v>10</v>
      </c>
    </row>
    <row r="814" spans="1:7" hidden="1" x14ac:dyDescent="0.2">
      <c r="A814" t="str">
        <f t="shared" si="12"/>
        <v>WiseToolsJAVA: Métodos de Negócio (Controller)AMédioComplexo</v>
      </c>
      <c r="B814" s="229" t="s">
        <v>231</v>
      </c>
      <c r="C814" s="229" t="s">
        <v>206</v>
      </c>
      <c r="D814" s="229" t="s">
        <v>25</v>
      </c>
      <c r="E814" s="229" t="s">
        <v>75</v>
      </c>
      <c r="F814" s="229" t="s">
        <v>76</v>
      </c>
      <c r="G814">
        <v>14</v>
      </c>
    </row>
    <row r="815" spans="1:7" hidden="1" x14ac:dyDescent="0.2">
      <c r="A815" t="str">
        <f t="shared" si="12"/>
        <v>WiseToolsJAVA: Métodos de Negócio (Controller)AComplexoSimples</v>
      </c>
      <c r="B815" s="229" t="s">
        <v>231</v>
      </c>
      <c r="C815" s="229" t="s">
        <v>206</v>
      </c>
      <c r="D815" s="229" t="s">
        <v>25</v>
      </c>
      <c r="E815" s="229" t="s">
        <v>76</v>
      </c>
      <c r="F815" s="229" t="s">
        <v>26</v>
      </c>
      <c r="G815">
        <v>6</v>
      </c>
    </row>
    <row r="816" spans="1:7" hidden="1" x14ac:dyDescent="0.2">
      <c r="A816" t="str">
        <f t="shared" si="12"/>
        <v>WiseToolsJAVA: Métodos de Negócio (Controller)AComplexoMédio</v>
      </c>
      <c r="B816" s="229" t="s">
        <v>231</v>
      </c>
      <c r="C816" s="229" t="s">
        <v>206</v>
      </c>
      <c r="D816" s="229" t="s">
        <v>25</v>
      </c>
      <c r="E816" s="229" t="s">
        <v>76</v>
      </c>
      <c r="F816" s="229" t="s">
        <v>75</v>
      </c>
      <c r="G816">
        <v>10</v>
      </c>
    </row>
    <row r="817" spans="1:7" hidden="1" x14ac:dyDescent="0.2">
      <c r="A817" t="str">
        <f t="shared" si="12"/>
        <v>WiseToolsJAVA: Métodos de Negócio (Controller)AComplexoComplexo</v>
      </c>
      <c r="B817" s="229" t="s">
        <v>231</v>
      </c>
      <c r="C817" s="229" t="s">
        <v>206</v>
      </c>
      <c r="D817" s="229" t="s">
        <v>25</v>
      </c>
      <c r="E817" s="229" t="s">
        <v>76</v>
      </c>
      <c r="F817" s="229" t="s">
        <v>76</v>
      </c>
      <c r="G817">
        <v>16</v>
      </c>
    </row>
    <row r="818" spans="1:7" hidden="1" x14ac:dyDescent="0.2">
      <c r="A818" t="str">
        <f t="shared" si="12"/>
        <v>WiseToolsJAVA: EntityNSimples</v>
      </c>
      <c r="B818" s="229" t="s">
        <v>231</v>
      </c>
      <c r="C818" s="229" t="s">
        <v>207</v>
      </c>
      <c r="D818" s="229" t="s">
        <v>24</v>
      </c>
      <c r="E818" s="229" t="s">
        <v>26</v>
      </c>
      <c r="F818" s="229"/>
      <c r="G818">
        <v>1</v>
      </c>
    </row>
    <row r="819" spans="1:7" hidden="1" x14ac:dyDescent="0.2">
      <c r="A819" t="str">
        <f t="shared" si="12"/>
        <v>WiseToolsJAVA: EntityNMédio</v>
      </c>
      <c r="B819" s="229" t="s">
        <v>231</v>
      </c>
      <c r="C819" s="229" t="s">
        <v>207</v>
      </c>
      <c r="D819" s="229" t="s">
        <v>24</v>
      </c>
      <c r="E819" s="229" t="s">
        <v>75</v>
      </c>
      <c r="F819" s="229"/>
      <c r="G819">
        <v>2</v>
      </c>
    </row>
    <row r="820" spans="1:7" hidden="1" x14ac:dyDescent="0.2">
      <c r="A820" t="str">
        <f t="shared" si="12"/>
        <v>WiseToolsJAVA: EntityNComplexo</v>
      </c>
      <c r="B820" s="229" t="s">
        <v>231</v>
      </c>
      <c r="C820" s="229" t="s">
        <v>207</v>
      </c>
      <c r="D820" s="229" t="s">
        <v>24</v>
      </c>
      <c r="E820" s="229" t="s">
        <v>76</v>
      </c>
      <c r="F820" s="229"/>
      <c r="G820">
        <v>4</v>
      </c>
    </row>
    <row r="821" spans="1:7" hidden="1" x14ac:dyDescent="0.2">
      <c r="A821" t="str">
        <f t="shared" si="12"/>
        <v>WiseToolsJAVA: EntityASimplesSimples</v>
      </c>
      <c r="B821" s="229" t="s">
        <v>231</v>
      </c>
      <c r="C821" s="229" t="s">
        <v>207</v>
      </c>
      <c r="D821" s="229" t="s">
        <v>25</v>
      </c>
      <c r="E821" s="229" t="s">
        <v>26</v>
      </c>
      <c r="F821" s="229" t="s">
        <v>26</v>
      </c>
      <c r="G821">
        <v>1</v>
      </c>
    </row>
    <row r="822" spans="1:7" hidden="1" x14ac:dyDescent="0.2">
      <c r="A822" t="str">
        <f t="shared" si="12"/>
        <v>WiseToolsJAVA: EntityASimplesMédio</v>
      </c>
      <c r="B822" s="229" t="s">
        <v>231</v>
      </c>
      <c r="C822" s="229" t="s">
        <v>207</v>
      </c>
      <c r="D822" s="229" t="s">
        <v>25</v>
      </c>
      <c r="E822" s="229" t="s">
        <v>26</v>
      </c>
      <c r="F822" s="229" t="s">
        <v>75</v>
      </c>
      <c r="G822">
        <v>2</v>
      </c>
    </row>
    <row r="823" spans="1:7" hidden="1" x14ac:dyDescent="0.2">
      <c r="A823" t="str">
        <f t="shared" si="12"/>
        <v>WiseToolsJAVA: EntityASimplesComplexo</v>
      </c>
      <c r="B823" s="229" t="s">
        <v>231</v>
      </c>
      <c r="C823" s="229" t="s">
        <v>207</v>
      </c>
      <c r="D823" s="229" t="s">
        <v>25</v>
      </c>
      <c r="E823" s="229" t="s">
        <v>26</v>
      </c>
      <c r="F823" s="229" t="s">
        <v>76</v>
      </c>
      <c r="G823">
        <v>3</v>
      </c>
    </row>
    <row r="824" spans="1:7" hidden="1" x14ac:dyDescent="0.2">
      <c r="A824" t="str">
        <f t="shared" si="12"/>
        <v>WiseToolsJAVA: EntityAMédioSimples</v>
      </c>
      <c r="B824" s="229" t="s">
        <v>231</v>
      </c>
      <c r="C824" s="229" t="s">
        <v>207</v>
      </c>
      <c r="D824" s="229" t="s">
        <v>25</v>
      </c>
      <c r="E824" s="229" t="s">
        <v>75</v>
      </c>
      <c r="F824" s="229" t="s">
        <v>26</v>
      </c>
      <c r="G824">
        <v>2</v>
      </c>
    </row>
    <row r="825" spans="1:7" hidden="1" x14ac:dyDescent="0.2">
      <c r="A825" t="str">
        <f t="shared" si="12"/>
        <v>WiseToolsJAVA: EntityAMédioMédio</v>
      </c>
      <c r="B825" s="229" t="s">
        <v>231</v>
      </c>
      <c r="C825" s="229" t="s">
        <v>207</v>
      </c>
      <c r="D825" s="229" t="s">
        <v>25</v>
      </c>
      <c r="E825" s="229" t="s">
        <v>75</v>
      </c>
      <c r="F825" s="229" t="s">
        <v>75</v>
      </c>
      <c r="G825">
        <v>3</v>
      </c>
    </row>
    <row r="826" spans="1:7" hidden="1" x14ac:dyDescent="0.2">
      <c r="A826" t="str">
        <f t="shared" si="12"/>
        <v>WiseToolsJAVA: EntityAMédioComplexo</v>
      </c>
      <c r="B826" s="229" t="s">
        <v>231</v>
      </c>
      <c r="C826" s="229" t="s">
        <v>207</v>
      </c>
      <c r="D826" s="229" t="s">
        <v>25</v>
      </c>
      <c r="E826" s="229" t="s">
        <v>75</v>
      </c>
      <c r="F826" s="229" t="s">
        <v>76</v>
      </c>
      <c r="G826">
        <v>4</v>
      </c>
    </row>
    <row r="827" spans="1:7" hidden="1" x14ac:dyDescent="0.2">
      <c r="A827" t="str">
        <f t="shared" si="12"/>
        <v>WiseToolsJAVA: EntityAComplexoSimples</v>
      </c>
      <c r="B827" s="229" t="s">
        <v>231</v>
      </c>
      <c r="C827" s="229" t="s">
        <v>207</v>
      </c>
      <c r="D827" s="229" t="s">
        <v>25</v>
      </c>
      <c r="E827" s="229" t="s">
        <v>76</v>
      </c>
      <c r="F827" s="229" t="s">
        <v>26</v>
      </c>
      <c r="G827">
        <v>3</v>
      </c>
    </row>
    <row r="828" spans="1:7" hidden="1" x14ac:dyDescent="0.2">
      <c r="A828" t="str">
        <f t="shared" si="12"/>
        <v>WiseToolsJAVA: EntityAComplexoMédio</v>
      </c>
      <c r="B828" s="229" t="s">
        <v>231</v>
      </c>
      <c r="C828" s="229" t="s">
        <v>207</v>
      </c>
      <c r="D828" s="229" t="s">
        <v>25</v>
      </c>
      <c r="E828" s="229" t="s">
        <v>76</v>
      </c>
      <c r="F828" s="229" t="s">
        <v>75</v>
      </c>
      <c r="G828">
        <v>5</v>
      </c>
    </row>
    <row r="829" spans="1:7" hidden="1" x14ac:dyDescent="0.2">
      <c r="A829" t="str">
        <f t="shared" si="12"/>
        <v>WiseToolsJAVA: EntityAComplexoComplexo</v>
      </c>
      <c r="B829" s="229" t="s">
        <v>231</v>
      </c>
      <c r="C829" s="229" t="s">
        <v>207</v>
      </c>
      <c r="D829" s="229" t="s">
        <v>25</v>
      </c>
      <c r="E829" s="229" t="s">
        <v>76</v>
      </c>
      <c r="F829" s="229" t="s">
        <v>76</v>
      </c>
      <c r="G829">
        <v>8</v>
      </c>
    </row>
    <row r="830" spans="1:7" hidden="1" x14ac:dyDescent="0.2">
      <c r="A830" t="str">
        <f t="shared" si="12"/>
        <v>WiseToolsJAVA: Consulta Banco de DadosNSimples</v>
      </c>
      <c r="B830" s="229" t="s">
        <v>231</v>
      </c>
      <c r="C830" s="229" t="s">
        <v>208</v>
      </c>
      <c r="D830" s="229" t="s">
        <v>24</v>
      </c>
      <c r="E830" s="229" t="s">
        <v>26</v>
      </c>
      <c r="F830" s="229"/>
      <c r="G830">
        <v>2</v>
      </c>
    </row>
    <row r="831" spans="1:7" hidden="1" x14ac:dyDescent="0.2">
      <c r="A831" t="str">
        <f t="shared" si="12"/>
        <v>WiseToolsJAVA: Consulta Banco de DadosNMédio</v>
      </c>
      <c r="B831" s="229" t="s">
        <v>231</v>
      </c>
      <c r="C831" s="229" t="s">
        <v>208</v>
      </c>
      <c r="D831" s="229" t="s">
        <v>24</v>
      </c>
      <c r="E831" s="229" t="s">
        <v>75</v>
      </c>
      <c r="F831" s="229"/>
      <c r="G831">
        <v>5</v>
      </c>
    </row>
    <row r="832" spans="1:7" hidden="1" x14ac:dyDescent="0.2">
      <c r="A832" t="str">
        <f t="shared" si="12"/>
        <v>WiseToolsJAVA: Consulta Banco de DadosNComplexo</v>
      </c>
      <c r="B832" s="229" t="s">
        <v>231</v>
      </c>
      <c r="C832" s="229" t="s">
        <v>208</v>
      </c>
      <c r="D832" s="229" t="s">
        <v>24</v>
      </c>
      <c r="E832" s="229" t="s">
        <v>76</v>
      </c>
      <c r="F832" s="229"/>
      <c r="G832">
        <v>8</v>
      </c>
    </row>
    <row r="833" spans="1:7" hidden="1" x14ac:dyDescent="0.2">
      <c r="A833" t="str">
        <f t="shared" si="12"/>
        <v>WiseToolsJAVA: Consulta Banco de DadosASimplesSimples</v>
      </c>
      <c r="B833" s="229" t="s">
        <v>231</v>
      </c>
      <c r="C833" s="229" t="s">
        <v>208</v>
      </c>
      <c r="D833" s="229" t="s">
        <v>25</v>
      </c>
      <c r="E833" s="229" t="s">
        <v>26</v>
      </c>
      <c r="F833" s="229" t="s">
        <v>26</v>
      </c>
      <c r="G833">
        <v>2</v>
      </c>
    </row>
    <row r="834" spans="1:7" hidden="1" x14ac:dyDescent="0.2">
      <c r="A834" t="str">
        <f t="shared" si="12"/>
        <v>WiseToolsJAVA: Consulta Banco de DadosASimplesMédio</v>
      </c>
      <c r="B834" s="229" t="s">
        <v>231</v>
      </c>
      <c r="C834" s="229" t="s">
        <v>208</v>
      </c>
      <c r="D834" s="229" t="s">
        <v>25</v>
      </c>
      <c r="E834" s="229" t="s">
        <v>26</v>
      </c>
      <c r="F834" s="229" t="s">
        <v>75</v>
      </c>
      <c r="G834">
        <v>4</v>
      </c>
    </row>
    <row r="835" spans="1:7" hidden="1" x14ac:dyDescent="0.2">
      <c r="A835" t="str">
        <f t="shared" ref="A835:A877" si="13">B835&amp;C835&amp;D835&amp;E835&amp;F835</f>
        <v>WiseToolsJAVA: Consulta Banco de DadosASimplesComplexo</v>
      </c>
      <c r="B835" s="229" t="s">
        <v>231</v>
      </c>
      <c r="C835" s="229" t="s">
        <v>208</v>
      </c>
      <c r="D835" s="229" t="s">
        <v>25</v>
      </c>
      <c r="E835" s="229" t="s">
        <v>26</v>
      </c>
      <c r="F835" s="229" t="s">
        <v>76</v>
      </c>
      <c r="G835">
        <v>6</v>
      </c>
    </row>
    <row r="836" spans="1:7" hidden="1" x14ac:dyDescent="0.2">
      <c r="A836" t="str">
        <f t="shared" si="13"/>
        <v>WiseToolsJAVA: Consulta Banco de DadosAMédioSimples</v>
      </c>
      <c r="B836" s="229" t="s">
        <v>231</v>
      </c>
      <c r="C836" s="229" t="s">
        <v>208</v>
      </c>
      <c r="D836" s="229" t="s">
        <v>25</v>
      </c>
      <c r="E836" s="229" t="s">
        <v>75</v>
      </c>
      <c r="F836" s="229" t="s">
        <v>26</v>
      </c>
      <c r="G836">
        <v>3</v>
      </c>
    </row>
    <row r="837" spans="1:7" hidden="1" x14ac:dyDescent="0.2">
      <c r="A837" t="str">
        <f t="shared" si="13"/>
        <v>WiseToolsJAVA: Consulta Banco de DadosAMédioMédio</v>
      </c>
      <c r="B837" s="229" t="s">
        <v>231</v>
      </c>
      <c r="C837" s="229" t="s">
        <v>208</v>
      </c>
      <c r="D837" s="229" t="s">
        <v>25</v>
      </c>
      <c r="E837" s="229" t="s">
        <v>75</v>
      </c>
      <c r="F837" s="229" t="s">
        <v>75</v>
      </c>
      <c r="G837">
        <v>6</v>
      </c>
    </row>
    <row r="838" spans="1:7" hidden="1" x14ac:dyDescent="0.2">
      <c r="A838" t="str">
        <f t="shared" si="13"/>
        <v>WiseToolsJAVA: Consulta Banco de DadosAMédioComplexo</v>
      </c>
      <c r="B838" s="229" t="s">
        <v>231</v>
      </c>
      <c r="C838" s="229" t="s">
        <v>208</v>
      </c>
      <c r="D838" s="229" t="s">
        <v>25</v>
      </c>
      <c r="E838" s="229" t="s">
        <v>75</v>
      </c>
      <c r="F838" s="229" t="s">
        <v>76</v>
      </c>
      <c r="G838">
        <v>8</v>
      </c>
    </row>
    <row r="839" spans="1:7" hidden="1" x14ac:dyDescent="0.2">
      <c r="A839" t="str">
        <f t="shared" si="13"/>
        <v>WiseToolsJAVA: Consulta Banco de DadosAComplexoSimples</v>
      </c>
      <c r="B839" s="229" t="s">
        <v>231</v>
      </c>
      <c r="C839" s="229" t="s">
        <v>208</v>
      </c>
      <c r="D839" s="229" t="s">
        <v>25</v>
      </c>
      <c r="E839" s="229" t="s">
        <v>76</v>
      </c>
      <c r="F839" s="229" t="s">
        <v>26</v>
      </c>
      <c r="G839">
        <v>5</v>
      </c>
    </row>
    <row r="840" spans="1:7" hidden="1" x14ac:dyDescent="0.2">
      <c r="A840" t="str">
        <f t="shared" si="13"/>
        <v>WiseToolsJAVA: Consulta Banco de DadosAComplexoMédio</v>
      </c>
      <c r="B840" s="229" t="s">
        <v>231</v>
      </c>
      <c r="C840" s="229" t="s">
        <v>208</v>
      </c>
      <c r="D840" s="229" t="s">
        <v>25</v>
      </c>
      <c r="E840" s="229" t="s">
        <v>76</v>
      </c>
      <c r="F840" s="229" t="s">
        <v>75</v>
      </c>
      <c r="G840">
        <v>8</v>
      </c>
    </row>
    <row r="841" spans="1:7" hidden="1" x14ac:dyDescent="0.2">
      <c r="A841" t="str">
        <f t="shared" si="13"/>
        <v>WiseToolsJAVA: Consulta Banco de DadosAComplexoComplexo</v>
      </c>
      <c r="B841" s="229" t="s">
        <v>231</v>
      </c>
      <c r="C841" s="229" t="s">
        <v>208</v>
      </c>
      <c r="D841" s="229" t="s">
        <v>25</v>
      </c>
      <c r="E841" s="229" t="s">
        <v>76</v>
      </c>
      <c r="F841" s="229" t="s">
        <v>76</v>
      </c>
      <c r="G841">
        <v>10</v>
      </c>
    </row>
    <row r="842" spans="1:7" hidden="1" x14ac:dyDescent="0.2">
      <c r="A842" t="str">
        <f t="shared" si="13"/>
        <v>WiseToolsJAVA: Geração de StubsNSimples</v>
      </c>
      <c r="B842" s="229" t="s">
        <v>231</v>
      </c>
      <c r="C842" s="229" t="s">
        <v>209</v>
      </c>
      <c r="D842" s="229" t="s">
        <v>24</v>
      </c>
      <c r="E842" s="229" t="s">
        <v>26</v>
      </c>
      <c r="F842" s="229"/>
      <c r="G842">
        <v>1</v>
      </c>
    </row>
    <row r="843" spans="1:7" hidden="1" x14ac:dyDescent="0.2">
      <c r="A843" t="str">
        <f t="shared" si="13"/>
        <v>WiseToolsJAVA: Geração de StubsNMédio</v>
      </c>
      <c r="B843" s="229" t="s">
        <v>231</v>
      </c>
      <c r="C843" s="229" t="s">
        <v>209</v>
      </c>
      <c r="D843" s="229" t="s">
        <v>24</v>
      </c>
      <c r="E843" s="229" t="s">
        <v>75</v>
      </c>
      <c r="F843" s="229"/>
      <c r="G843">
        <v>3</v>
      </c>
    </row>
    <row r="844" spans="1:7" hidden="1" x14ac:dyDescent="0.2">
      <c r="A844" t="str">
        <f t="shared" si="13"/>
        <v>WiseToolsJAVA: Geração de StubsNComplexo</v>
      </c>
      <c r="B844" s="229" t="s">
        <v>231</v>
      </c>
      <c r="C844" s="229" t="s">
        <v>209</v>
      </c>
      <c r="D844" s="229" t="s">
        <v>24</v>
      </c>
      <c r="E844" s="229" t="s">
        <v>76</v>
      </c>
      <c r="F844" s="229"/>
      <c r="G844">
        <v>8</v>
      </c>
    </row>
    <row r="845" spans="1:7" hidden="1" x14ac:dyDescent="0.2">
      <c r="A845" t="str">
        <f t="shared" si="13"/>
        <v>WiseToolsJAVA: Geração de StubsASimplesSimples</v>
      </c>
      <c r="B845" s="229" t="s">
        <v>231</v>
      </c>
      <c r="C845" s="229" t="s">
        <v>209</v>
      </c>
      <c r="D845" s="229" t="s">
        <v>25</v>
      </c>
      <c r="E845" s="229" t="s">
        <v>26</v>
      </c>
      <c r="F845" s="229" t="s">
        <v>26</v>
      </c>
      <c r="G845">
        <v>1</v>
      </c>
    </row>
    <row r="846" spans="1:7" hidden="1" x14ac:dyDescent="0.2">
      <c r="A846" t="str">
        <f t="shared" si="13"/>
        <v>WiseToolsJAVA: Geração de StubsASimplesMédio</v>
      </c>
      <c r="B846" s="229" t="s">
        <v>231</v>
      </c>
      <c r="C846" s="229" t="s">
        <v>209</v>
      </c>
      <c r="D846" s="229" t="s">
        <v>25</v>
      </c>
      <c r="E846" s="229" t="s">
        <v>26</v>
      </c>
      <c r="F846" s="229" t="s">
        <v>75</v>
      </c>
      <c r="G846">
        <v>2</v>
      </c>
    </row>
    <row r="847" spans="1:7" hidden="1" x14ac:dyDescent="0.2">
      <c r="A847" t="str">
        <f t="shared" si="13"/>
        <v>WiseToolsJAVA: Geração de StubsASimplesComplexo</v>
      </c>
      <c r="B847" s="229" t="s">
        <v>231</v>
      </c>
      <c r="C847" s="229" t="s">
        <v>209</v>
      </c>
      <c r="D847" s="229" t="s">
        <v>25</v>
      </c>
      <c r="E847" s="229" t="s">
        <v>26</v>
      </c>
      <c r="F847" s="229" t="s">
        <v>76</v>
      </c>
      <c r="G847">
        <v>3</v>
      </c>
    </row>
    <row r="848" spans="1:7" hidden="1" x14ac:dyDescent="0.2">
      <c r="A848" t="str">
        <f t="shared" si="13"/>
        <v>WiseToolsJAVA: Geração de StubsAMédioSimples</v>
      </c>
      <c r="B848" s="229" t="s">
        <v>231</v>
      </c>
      <c r="C848" s="229" t="s">
        <v>209</v>
      </c>
      <c r="D848" s="229" t="s">
        <v>25</v>
      </c>
      <c r="E848" s="229" t="s">
        <v>75</v>
      </c>
      <c r="F848" s="229" t="s">
        <v>26</v>
      </c>
      <c r="G848">
        <v>2</v>
      </c>
    </row>
    <row r="849" spans="1:7" hidden="1" x14ac:dyDescent="0.2">
      <c r="A849" t="str">
        <f t="shared" si="13"/>
        <v>WiseToolsJAVA: Geração de StubsAMédioMédio</v>
      </c>
      <c r="B849" s="229" t="s">
        <v>231</v>
      </c>
      <c r="C849" s="229" t="s">
        <v>209</v>
      </c>
      <c r="D849" s="229" t="s">
        <v>25</v>
      </c>
      <c r="E849" s="229" t="s">
        <v>75</v>
      </c>
      <c r="F849" s="229" t="s">
        <v>75</v>
      </c>
      <c r="G849">
        <v>3</v>
      </c>
    </row>
    <row r="850" spans="1:7" hidden="1" x14ac:dyDescent="0.2">
      <c r="A850" t="str">
        <f t="shared" si="13"/>
        <v>WiseToolsJAVA: Geração de StubsAMédioComplexo</v>
      </c>
      <c r="B850" s="229" t="s">
        <v>231</v>
      </c>
      <c r="C850" s="229" t="s">
        <v>209</v>
      </c>
      <c r="D850" s="229" t="s">
        <v>25</v>
      </c>
      <c r="E850" s="229" t="s">
        <v>75</v>
      </c>
      <c r="F850" s="229" t="s">
        <v>76</v>
      </c>
      <c r="G850">
        <v>5</v>
      </c>
    </row>
    <row r="851" spans="1:7" hidden="1" x14ac:dyDescent="0.2">
      <c r="A851" t="str">
        <f t="shared" si="13"/>
        <v>WiseToolsJAVA: Geração de StubsAComplexoSimples</v>
      </c>
      <c r="B851" s="229" t="s">
        <v>231</v>
      </c>
      <c r="C851" s="229" t="s">
        <v>209</v>
      </c>
      <c r="D851" s="229" t="s">
        <v>25</v>
      </c>
      <c r="E851" s="229" t="s">
        <v>76</v>
      </c>
      <c r="F851" s="229" t="s">
        <v>26</v>
      </c>
      <c r="G851">
        <v>4</v>
      </c>
    </row>
    <row r="852" spans="1:7" hidden="1" x14ac:dyDescent="0.2">
      <c r="A852" t="str">
        <f t="shared" si="13"/>
        <v>WiseToolsJAVA: Geração de StubsAComplexoMédio</v>
      </c>
      <c r="B852" s="229" t="s">
        <v>231</v>
      </c>
      <c r="C852" s="229" t="s">
        <v>209</v>
      </c>
      <c r="D852" s="229" t="s">
        <v>25</v>
      </c>
      <c r="E852" s="229" t="s">
        <v>76</v>
      </c>
      <c r="F852" s="229" t="s">
        <v>75</v>
      </c>
      <c r="G852">
        <v>6</v>
      </c>
    </row>
    <row r="853" spans="1:7" hidden="1" x14ac:dyDescent="0.2">
      <c r="A853" t="str">
        <f t="shared" si="13"/>
        <v>WiseToolsJAVA: Geração de StubsAComplexoComplexo</v>
      </c>
      <c r="B853" s="229" t="s">
        <v>231</v>
      </c>
      <c r="C853" s="229" t="s">
        <v>209</v>
      </c>
      <c r="D853" s="229" t="s">
        <v>25</v>
      </c>
      <c r="E853" s="229" t="s">
        <v>76</v>
      </c>
      <c r="F853" s="229" t="s">
        <v>76</v>
      </c>
      <c r="G853">
        <v>8</v>
      </c>
    </row>
    <row r="854" spans="1:7" hidden="1" x14ac:dyDescent="0.2">
      <c r="A854" t="str">
        <f t="shared" si="13"/>
        <v>WiseToolsJSPNSimples</v>
      </c>
      <c r="B854" s="229" t="s">
        <v>231</v>
      </c>
      <c r="C854" s="229" t="s">
        <v>210</v>
      </c>
      <c r="D854" s="229" t="s">
        <v>24</v>
      </c>
      <c r="E854" s="229" t="s">
        <v>26</v>
      </c>
      <c r="F854" s="229"/>
      <c r="G854">
        <v>12</v>
      </c>
    </row>
    <row r="855" spans="1:7" hidden="1" x14ac:dyDescent="0.2">
      <c r="A855" t="str">
        <f t="shared" si="13"/>
        <v>WiseToolsJSPNMédio</v>
      </c>
      <c r="B855" s="229" t="s">
        <v>231</v>
      </c>
      <c r="C855" s="229" t="s">
        <v>210</v>
      </c>
      <c r="D855" s="229" t="s">
        <v>24</v>
      </c>
      <c r="E855" s="229" t="s">
        <v>75</v>
      </c>
      <c r="F855" s="229"/>
      <c r="G855">
        <v>18</v>
      </c>
    </row>
    <row r="856" spans="1:7" hidden="1" x14ac:dyDescent="0.2">
      <c r="A856" t="str">
        <f t="shared" si="13"/>
        <v>WiseToolsJSPNComplexo</v>
      </c>
      <c r="B856" s="229" t="s">
        <v>231</v>
      </c>
      <c r="C856" s="229" t="s">
        <v>210</v>
      </c>
      <c r="D856" s="229" t="s">
        <v>24</v>
      </c>
      <c r="E856" s="229" t="s">
        <v>76</v>
      </c>
      <c r="F856" s="229"/>
      <c r="G856">
        <v>24</v>
      </c>
    </row>
    <row r="857" spans="1:7" hidden="1" x14ac:dyDescent="0.2">
      <c r="A857" t="str">
        <f t="shared" si="13"/>
        <v>WiseToolsJSPASimplesSimples</v>
      </c>
      <c r="B857" s="229" t="s">
        <v>231</v>
      </c>
      <c r="C857" s="229" t="s">
        <v>210</v>
      </c>
      <c r="D857" s="229" t="s">
        <v>25</v>
      </c>
      <c r="E857" s="229" t="s">
        <v>26</v>
      </c>
      <c r="F857" s="229" t="s">
        <v>26</v>
      </c>
      <c r="G857">
        <v>5</v>
      </c>
    </row>
    <row r="858" spans="1:7" hidden="1" x14ac:dyDescent="0.2">
      <c r="A858" t="str">
        <f t="shared" si="13"/>
        <v>WiseToolsJSPASimplesMédio</v>
      </c>
      <c r="B858" s="229" t="s">
        <v>231</v>
      </c>
      <c r="C858" s="229" t="s">
        <v>210</v>
      </c>
      <c r="D858" s="229" t="s">
        <v>25</v>
      </c>
      <c r="E858" s="229" t="s">
        <v>26</v>
      </c>
      <c r="F858" s="229" t="s">
        <v>75</v>
      </c>
      <c r="G858">
        <v>8</v>
      </c>
    </row>
    <row r="859" spans="1:7" hidden="1" x14ac:dyDescent="0.2">
      <c r="A859" t="str">
        <f t="shared" si="13"/>
        <v>WiseToolsJSPASimplesComplexo</v>
      </c>
      <c r="B859" s="229" t="s">
        <v>231</v>
      </c>
      <c r="C859" s="229" t="s">
        <v>210</v>
      </c>
      <c r="D859" s="229" t="s">
        <v>25</v>
      </c>
      <c r="E859" s="229" t="s">
        <v>26</v>
      </c>
      <c r="F859" s="229" t="s">
        <v>76</v>
      </c>
      <c r="G859">
        <v>10</v>
      </c>
    </row>
    <row r="860" spans="1:7" hidden="1" x14ac:dyDescent="0.2">
      <c r="A860" t="str">
        <f t="shared" si="13"/>
        <v>WiseToolsJSPAMédioSimples</v>
      </c>
      <c r="B860" s="229" t="s">
        <v>231</v>
      </c>
      <c r="C860" s="229" t="s">
        <v>210</v>
      </c>
      <c r="D860" s="229" t="s">
        <v>25</v>
      </c>
      <c r="E860" s="229" t="s">
        <v>75</v>
      </c>
      <c r="F860" s="229" t="s">
        <v>26</v>
      </c>
      <c r="G860">
        <v>8</v>
      </c>
    </row>
    <row r="861" spans="1:7" hidden="1" x14ac:dyDescent="0.2">
      <c r="A861" t="str">
        <f t="shared" si="13"/>
        <v>WiseToolsJSPAMédioMédio</v>
      </c>
      <c r="B861" s="229" t="s">
        <v>231</v>
      </c>
      <c r="C861" s="229" t="s">
        <v>210</v>
      </c>
      <c r="D861" s="229" t="s">
        <v>25</v>
      </c>
      <c r="E861" s="229" t="s">
        <v>75</v>
      </c>
      <c r="F861" s="229" t="s">
        <v>75</v>
      </c>
      <c r="G861">
        <v>10</v>
      </c>
    </row>
    <row r="862" spans="1:7" hidden="1" x14ac:dyDescent="0.2">
      <c r="A862" t="str">
        <f t="shared" si="13"/>
        <v>WiseToolsJSPAMédioComplexo</v>
      </c>
      <c r="B862" s="229" t="s">
        <v>231</v>
      </c>
      <c r="C862" s="229" t="s">
        <v>210</v>
      </c>
      <c r="D862" s="229" t="s">
        <v>25</v>
      </c>
      <c r="E862" s="229" t="s">
        <v>75</v>
      </c>
      <c r="F862" s="229" t="s">
        <v>76</v>
      </c>
      <c r="G862">
        <v>12</v>
      </c>
    </row>
    <row r="863" spans="1:7" hidden="1" x14ac:dyDescent="0.2">
      <c r="A863" t="str">
        <f t="shared" si="13"/>
        <v>WiseToolsJSPAComplexoSimples</v>
      </c>
      <c r="B863" s="229" t="s">
        <v>231</v>
      </c>
      <c r="C863" s="229" t="s">
        <v>210</v>
      </c>
      <c r="D863" s="229" t="s">
        <v>25</v>
      </c>
      <c r="E863" s="229" t="s">
        <v>76</v>
      </c>
      <c r="F863" s="229" t="s">
        <v>26</v>
      </c>
      <c r="G863">
        <v>6</v>
      </c>
    </row>
    <row r="864" spans="1:7" hidden="1" x14ac:dyDescent="0.2">
      <c r="A864" t="str">
        <f t="shared" si="13"/>
        <v>WiseToolsJSPAComplexoMédio</v>
      </c>
      <c r="B864" s="229" t="s">
        <v>231</v>
      </c>
      <c r="C864" s="229" t="s">
        <v>210</v>
      </c>
      <c r="D864" s="229" t="s">
        <v>25</v>
      </c>
      <c r="E864" s="229" t="s">
        <v>76</v>
      </c>
      <c r="F864" s="229" t="s">
        <v>75</v>
      </c>
      <c r="G864">
        <v>12</v>
      </c>
    </row>
    <row r="865" spans="1:7" hidden="1" x14ac:dyDescent="0.2">
      <c r="A865" t="str">
        <f t="shared" si="13"/>
        <v>WiseToolsJSPAComplexoComplexo</v>
      </c>
      <c r="B865" s="229" t="s">
        <v>231</v>
      </c>
      <c r="C865" s="229" t="s">
        <v>210</v>
      </c>
      <c r="D865" s="229" t="s">
        <v>25</v>
      </c>
      <c r="E865" s="229" t="s">
        <v>76</v>
      </c>
      <c r="F865" s="229" t="s">
        <v>76</v>
      </c>
      <c r="G865">
        <v>22</v>
      </c>
    </row>
    <row r="866" spans="1:7" hidden="1" x14ac:dyDescent="0.2">
      <c r="A866" t="str">
        <f t="shared" si="13"/>
        <v>WiseToolsConfiguração Projeto/MóduloNSimples</v>
      </c>
      <c r="B866" s="229" t="s">
        <v>231</v>
      </c>
      <c r="C866" s="229" t="s">
        <v>221</v>
      </c>
      <c r="D866" s="229" t="s">
        <v>24</v>
      </c>
      <c r="E866" s="229" t="s">
        <v>26</v>
      </c>
      <c r="F866" s="229"/>
      <c r="G866">
        <v>2</v>
      </c>
    </row>
    <row r="867" spans="1:7" hidden="1" x14ac:dyDescent="0.2">
      <c r="A867" t="str">
        <f t="shared" si="13"/>
        <v>WiseToolsConfiguração Projeto/MóduloNMédio</v>
      </c>
      <c r="B867" s="229" t="s">
        <v>231</v>
      </c>
      <c r="C867" s="229" t="s">
        <v>221</v>
      </c>
      <c r="D867" s="229" t="s">
        <v>24</v>
      </c>
      <c r="E867" s="229" t="s">
        <v>75</v>
      </c>
      <c r="F867" s="229"/>
      <c r="G867">
        <v>4</v>
      </c>
    </row>
    <row r="868" spans="1:7" hidden="1" x14ac:dyDescent="0.2">
      <c r="A868" t="str">
        <f t="shared" si="13"/>
        <v>WiseToolsConfiguração Projeto/MóduloNComplexo</v>
      </c>
      <c r="B868" s="229" t="s">
        <v>231</v>
      </c>
      <c r="C868" s="229" t="s">
        <v>221</v>
      </c>
      <c r="D868" s="229" t="s">
        <v>24</v>
      </c>
      <c r="E868" s="229" t="s">
        <v>76</v>
      </c>
      <c r="F868" s="229"/>
      <c r="G868">
        <v>8</v>
      </c>
    </row>
    <row r="869" spans="1:7" hidden="1" x14ac:dyDescent="0.2">
      <c r="A869" t="str">
        <f t="shared" si="13"/>
        <v>WiseToolsConfiguração Projeto/MóduloASimplesSimples</v>
      </c>
      <c r="B869" s="229" t="s">
        <v>231</v>
      </c>
      <c r="C869" s="229" t="s">
        <v>221</v>
      </c>
      <c r="D869" s="229" t="s">
        <v>25</v>
      </c>
      <c r="E869" s="229" t="s">
        <v>26</v>
      </c>
      <c r="F869" s="229" t="s">
        <v>26</v>
      </c>
      <c r="G869">
        <v>1</v>
      </c>
    </row>
    <row r="870" spans="1:7" hidden="1" x14ac:dyDescent="0.2">
      <c r="A870" t="str">
        <f t="shared" si="13"/>
        <v>WiseToolsConfiguração Projeto/MóduloASimplesMédio</v>
      </c>
      <c r="B870" s="229" t="s">
        <v>231</v>
      </c>
      <c r="C870" s="229" t="s">
        <v>221</v>
      </c>
      <c r="D870" s="229" t="s">
        <v>25</v>
      </c>
      <c r="E870" s="229" t="s">
        <v>26</v>
      </c>
      <c r="F870" s="229" t="s">
        <v>75</v>
      </c>
      <c r="G870">
        <v>2</v>
      </c>
    </row>
    <row r="871" spans="1:7" hidden="1" x14ac:dyDescent="0.2">
      <c r="A871" t="str">
        <f t="shared" si="13"/>
        <v>WiseToolsConfiguração Projeto/MóduloASimplesComplexo</v>
      </c>
      <c r="B871" s="229" t="s">
        <v>231</v>
      </c>
      <c r="C871" s="229" t="s">
        <v>221</v>
      </c>
      <c r="D871" s="229" t="s">
        <v>25</v>
      </c>
      <c r="E871" s="229" t="s">
        <v>26</v>
      </c>
      <c r="F871" s="229" t="s">
        <v>76</v>
      </c>
      <c r="G871">
        <v>4</v>
      </c>
    </row>
    <row r="872" spans="1:7" hidden="1" x14ac:dyDescent="0.2">
      <c r="A872" t="str">
        <f t="shared" si="13"/>
        <v>WiseToolsConfiguração Projeto/MóduloAMédioSimples</v>
      </c>
      <c r="B872" s="229" t="s">
        <v>231</v>
      </c>
      <c r="C872" s="229" t="s">
        <v>221</v>
      </c>
      <c r="D872" s="229" t="s">
        <v>25</v>
      </c>
      <c r="E872" s="229" t="s">
        <v>75</v>
      </c>
      <c r="F872" s="229" t="s">
        <v>26</v>
      </c>
      <c r="G872">
        <v>2</v>
      </c>
    </row>
    <row r="873" spans="1:7" hidden="1" x14ac:dyDescent="0.2">
      <c r="A873" t="str">
        <f t="shared" si="13"/>
        <v>WiseToolsConfiguração Projeto/MóduloAMédioMédio</v>
      </c>
      <c r="B873" s="229" t="s">
        <v>231</v>
      </c>
      <c r="C873" s="229" t="s">
        <v>221</v>
      </c>
      <c r="D873" s="229" t="s">
        <v>25</v>
      </c>
      <c r="E873" s="229" t="s">
        <v>75</v>
      </c>
      <c r="F873" s="229" t="s">
        <v>75</v>
      </c>
      <c r="G873">
        <v>4</v>
      </c>
    </row>
    <row r="874" spans="1:7" hidden="1" x14ac:dyDescent="0.2">
      <c r="A874" t="str">
        <f t="shared" si="13"/>
        <v>WiseToolsConfiguração Projeto/MóduloAMédioComplexo</v>
      </c>
      <c r="B874" s="229" t="s">
        <v>231</v>
      </c>
      <c r="C874" s="229" t="s">
        <v>221</v>
      </c>
      <c r="D874" s="229" t="s">
        <v>25</v>
      </c>
      <c r="E874" s="229" t="s">
        <v>75</v>
      </c>
      <c r="F874" s="229" t="s">
        <v>76</v>
      </c>
      <c r="G874">
        <v>5</v>
      </c>
    </row>
    <row r="875" spans="1:7" hidden="1" x14ac:dyDescent="0.2">
      <c r="A875" t="str">
        <f t="shared" si="13"/>
        <v>WiseToolsConfiguração Projeto/MóduloAComplexoSimples</v>
      </c>
      <c r="B875" s="229" t="s">
        <v>231</v>
      </c>
      <c r="C875" s="229" t="s">
        <v>221</v>
      </c>
      <c r="D875" s="229" t="s">
        <v>25</v>
      </c>
      <c r="E875" s="229" t="s">
        <v>76</v>
      </c>
      <c r="F875" s="229" t="s">
        <v>26</v>
      </c>
      <c r="G875">
        <v>5</v>
      </c>
    </row>
    <row r="876" spans="1:7" hidden="1" x14ac:dyDescent="0.2">
      <c r="A876" t="str">
        <f t="shared" si="13"/>
        <v>WiseToolsConfiguração Projeto/MóduloAComplexoMédio</v>
      </c>
      <c r="B876" s="229" t="s">
        <v>231</v>
      </c>
      <c r="C876" s="229" t="s">
        <v>221</v>
      </c>
      <c r="D876" s="229" t="s">
        <v>25</v>
      </c>
      <c r="E876" s="229" t="s">
        <v>76</v>
      </c>
      <c r="F876" s="229" t="s">
        <v>75</v>
      </c>
      <c r="G876">
        <v>7</v>
      </c>
    </row>
    <row r="877" spans="1:7" hidden="1" x14ac:dyDescent="0.2">
      <c r="A877" t="str">
        <f t="shared" si="13"/>
        <v>WiseToolsConfiguração Projeto/MóduloAComplexoComplexo</v>
      </c>
      <c r="B877" s="229" t="s">
        <v>231</v>
      </c>
      <c r="C877" s="229" t="s">
        <v>221</v>
      </c>
      <c r="D877" s="229" t="s">
        <v>25</v>
      </c>
      <c r="E877" s="229" t="s">
        <v>76</v>
      </c>
      <c r="F877" s="229" t="s">
        <v>76</v>
      </c>
      <c r="G877">
        <v>8</v>
      </c>
    </row>
    <row r="878" spans="1:7" hidden="1" x14ac:dyDescent="0.2">
      <c r="A878" t="str">
        <f t="shared" ref="A878:A886" si="14">B878&amp;C878&amp;D878&amp;E878&amp;F878</f>
        <v>JobJUnitNSimples</v>
      </c>
      <c r="B878" s="229" t="s">
        <v>232</v>
      </c>
      <c r="C878" s="229" t="s">
        <v>219</v>
      </c>
      <c r="D878" s="229" t="s">
        <v>24</v>
      </c>
      <c r="E878" s="229" t="s">
        <v>26</v>
      </c>
      <c r="F878" s="229"/>
      <c r="G878">
        <v>3</v>
      </c>
    </row>
    <row r="879" spans="1:7" hidden="1" x14ac:dyDescent="0.2">
      <c r="A879" t="str">
        <f t="shared" si="14"/>
        <v>JobJUnitNMédio</v>
      </c>
      <c r="B879" s="229" t="s">
        <v>232</v>
      </c>
      <c r="C879" s="229" t="s">
        <v>219</v>
      </c>
      <c r="D879" s="229" t="s">
        <v>24</v>
      </c>
      <c r="E879" s="229" t="s">
        <v>75</v>
      </c>
      <c r="F879" s="229"/>
      <c r="G879">
        <v>5</v>
      </c>
    </row>
    <row r="880" spans="1:7" hidden="1" x14ac:dyDescent="0.2">
      <c r="A880" t="str">
        <f t="shared" si="14"/>
        <v>JobJUnitNComplexo</v>
      </c>
      <c r="B880" s="229" t="s">
        <v>232</v>
      </c>
      <c r="C880" s="229" t="s">
        <v>219</v>
      </c>
      <c r="D880" s="229" t="s">
        <v>24</v>
      </c>
      <c r="E880" s="229" t="s">
        <v>76</v>
      </c>
      <c r="F880" s="229"/>
      <c r="G880">
        <v>9</v>
      </c>
    </row>
    <row r="881" spans="1:7" hidden="1" x14ac:dyDescent="0.2">
      <c r="A881" t="str">
        <f t="shared" si="14"/>
        <v>JobJUnitASimplesSimples</v>
      </c>
      <c r="B881" s="229" t="s">
        <v>232</v>
      </c>
      <c r="C881" s="229" t="s">
        <v>219</v>
      </c>
      <c r="D881" s="229" t="s">
        <v>25</v>
      </c>
      <c r="E881" s="229" t="s">
        <v>26</v>
      </c>
      <c r="F881" s="229" t="s">
        <v>26</v>
      </c>
      <c r="G881">
        <v>2</v>
      </c>
    </row>
    <row r="882" spans="1:7" hidden="1" x14ac:dyDescent="0.2">
      <c r="A882" t="str">
        <f t="shared" si="14"/>
        <v>JobJUnitASimplesMédio</v>
      </c>
      <c r="B882" s="229" t="s">
        <v>232</v>
      </c>
      <c r="C882" s="229" t="s">
        <v>219</v>
      </c>
      <c r="D882" s="229" t="s">
        <v>25</v>
      </c>
      <c r="E882" s="229" t="s">
        <v>26</v>
      </c>
      <c r="F882" s="229" t="s">
        <v>75</v>
      </c>
      <c r="G882">
        <v>4</v>
      </c>
    </row>
    <row r="883" spans="1:7" hidden="1" x14ac:dyDescent="0.2">
      <c r="A883" t="str">
        <f t="shared" si="14"/>
        <v>JobJUnitASimplesComplexo</v>
      </c>
      <c r="B883" s="229" t="s">
        <v>232</v>
      </c>
      <c r="C883" s="229" t="s">
        <v>219</v>
      </c>
      <c r="D883" s="229" t="s">
        <v>25</v>
      </c>
      <c r="E883" s="229" t="s">
        <v>26</v>
      </c>
      <c r="F883" s="229" t="s">
        <v>76</v>
      </c>
      <c r="G883">
        <v>5</v>
      </c>
    </row>
    <row r="884" spans="1:7" hidden="1" x14ac:dyDescent="0.2">
      <c r="A884" t="str">
        <f t="shared" si="14"/>
        <v>JobJUnitAMédioSimples</v>
      </c>
      <c r="B884" s="229" t="s">
        <v>232</v>
      </c>
      <c r="C884" s="229" t="s">
        <v>219</v>
      </c>
      <c r="D884" s="229" t="s">
        <v>25</v>
      </c>
      <c r="E884" s="229" t="s">
        <v>75</v>
      </c>
      <c r="F884" s="229" t="s">
        <v>26</v>
      </c>
      <c r="G884">
        <v>3</v>
      </c>
    </row>
    <row r="885" spans="1:7" hidden="1" x14ac:dyDescent="0.2">
      <c r="A885" t="str">
        <f t="shared" si="14"/>
        <v>JobJUnitAMédioMédio</v>
      </c>
      <c r="B885" s="229" t="s">
        <v>232</v>
      </c>
      <c r="C885" s="229" t="s">
        <v>219</v>
      </c>
      <c r="D885" s="229" t="s">
        <v>25</v>
      </c>
      <c r="E885" s="229" t="s">
        <v>75</v>
      </c>
      <c r="F885" s="229" t="s">
        <v>75</v>
      </c>
      <c r="G885">
        <v>5</v>
      </c>
    </row>
    <row r="886" spans="1:7" hidden="1" x14ac:dyDescent="0.2">
      <c r="A886" t="str">
        <f t="shared" si="14"/>
        <v>JobJUnitAMédioComplexo</v>
      </c>
      <c r="B886" s="229" t="s">
        <v>232</v>
      </c>
      <c r="C886" s="229" t="s">
        <v>219</v>
      </c>
      <c r="D886" s="229" t="s">
        <v>25</v>
      </c>
      <c r="E886" s="229" t="s">
        <v>75</v>
      </c>
      <c r="F886" s="229" t="s">
        <v>76</v>
      </c>
      <c r="G886">
        <v>7</v>
      </c>
    </row>
    <row r="887" spans="1:7" hidden="1" x14ac:dyDescent="0.2">
      <c r="A887" t="str">
        <f t="shared" ref="A887:A913" si="15">B887&amp;C887&amp;D887&amp;E887&amp;F887</f>
        <v>JobJUnitAComplexoSimples</v>
      </c>
      <c r="B887" s="229" t="s">
        <v>232</v>
      </c>
      <c r="C887" s="229" t="s">
        <v>219</v>
      </c>
      <c r="D887" s="229" t="s">
        <v>25</v>
      </c>
      <c r="E887" s="229" t="s">
        <v>76</v>
      </c>
      <c r="F887" s="229" t="s">
        <v>26</v>
      </c>
      <c r="G887">
        <v>4</v>
      </c>
    </row>
    <row r="888" spans="1:7" hidden="1" x14ac:dyDescent="0.2">
      <c r="A888" t="str">
        <f t="shared" si="15"/>
        <v>JobJUnitAComplexoMédio</v>
      </c>
      <c r="B888" s="229" t="s">
        <v>232</v>
      </c>
      <c r="C888" s="229" t="s">
        <v>219</v>
      </c>
      <c r="D888" s="229" t="s">
        <v>25</v>
      </c>
      <c r="E888" s="229" t="s">
        <v>76</v>
      </c>
      <c r="F888" s="229" t="s">
        <v>75</v>
      </c>
      <c r="G888">
        <v>6</v>
      </c>
    </row>
    <row r="889" spans="1:7" hidden="1" x14ac:dyDescent="0.2">
      <c r="A889" t="str">
        <f t="shared" si="15"/>
        <v>JobJUnitAComplexoComplexo</v>
      </c>
      <c r="B889" s="229" t="s">
        <v>232</v>
      </c>
      <c r="C889" s="229" t="s">
        <v>219</v>
      </c>
      <c r="D889" s="229" t="s">
        <v>25</v>
      </c>
      <c r="E889" s="229" t="s">
        <v>76</v>
      </c>
      <c r="F889" s="229" t="s">
        <v>76</v>
      </c>
      <c r="G889">
        <v>8</v>
      </c>
    </row>
    <row r="890" spans="1:7" hidden="1" x14ac:dyDescent="0.2">
      <c r="A890" t="str">
        <f t="shared" si="15"/>
        <v>JobBanco de Dados (DML, DDL)NSimples</v>
      </c>
      <c r="B890" s="229" t="s">
        <v>232</v>
      </c>
      <c r="C890" s="229" t="s">
        <v>220</v>
      </c>
      <c r="D890" s="229" t="s">
        <v>24</v>
      </c>
      <c r="E890" s="229" t="s">
        <v>26</v>
      </c>
      <c r="F890" s="229"/>
      <c r="G890">
        <v>1</v>
      </c>
    </row>
    <row r="891" spans="1:7" hidden="1" x14ac:dyDescent="0.2">
      <c r="A891" t="str">
        <f t="shared" si="15"/>
        <v>JobBanco de Dados (DML, DDL)NMédio</v>
      </c>
      <c r="B891" s="229" t="s">
        <v>232</v>
      </c>
      <c r="C891" s="229" t="s">
        <v>220</v>
      </c>
      <c r="D891" s="229" t="s">
        <v>24</v>
      </c>
      <c r="E891" s="229" t="s">
        <v>75</v>
      </c>
      <c r="F891" s="229"/>
      <c r="G891">
        <v>3</v>
      </c>
    </row>
    <row r="892" spans="1:7" hidden="1" x14ac:dyDescent="0.2">
      <c r="A892" t="str">
        <f t="shared" si="15"/>
        <v>JobBanco de Dados (DML, DDL)NComplexo</v>
      </c>
      <c r="B892" s="229" t="s">
        <v>232</v>
      </c>
      <c r="C892" s="229" t="s">
        <v>220</v>
      </c>
      <c r="D892" s="229" t="s">
        <v>24</v>
      </c>
      <c r="E892" s="229" t="s">
        <v>76</v>
      </c>
      <c r="F892" s="229"/>
      <c r="G892">
        <v>5</v>
      </c>
    </row>
    <row r="893" spans="1:7" hidden="1" x14ac:dyDescent="0.2">
      <c r="A893" t="str">
        <f t="shared" si="15"/>
        <v>JobBanco de Dados (DML, DDL)ASimplesSimples</v>
      </c>
      <c r="B893" s="229" t="s">
        <v>232</v>
      </c>
      <c r="C893" s="229" t="s">
        <v>220</v>
      </c>
      <c r="D893" s="229" t="s">
        <v>25</v>
      </c>
      <c r="E893" s="229" t="s">
        <v>26</v>
      </c>
      <c r="F893" s="229" t="s">
        <v>26</v>
      </c>
      <c r="G893">
        <v>1</v>
      </c>
    </row>
    <row r="894" spans="1:7" hidden="1" x14ac:dyDescent="0.2">
      <c r="A894" t="str">
        <f t="shared" si="15"/>
        <v>JobBanco de Dados (DML, DDL)ASimplesMédio</v>
      </c>
      <c r="B894" s="229" t="s">
        <v>232</v>
      </c>
      <c r="C894" s="229" t="s">
        <v>220</v>
      </c>
      <c r="D894" s="229" t="s">
        <v>25</v>
      </c>
      <c r="E894" s="229" t="s">
        <v>26</v>
      </c>
      <c r="F894" s="229" t="s">
        <v>75</v>
      </c>
      <c r="G894">
        <v>3</v>
      </c>
    </row>
    <row r="895" spans="1:7" hidden="1" x14ac:dyDescent="0.2">
      <c r="A895" t="str">
        <f t="shared" si="15"/>
        <v>JobBanco de Dados (DML, DDL)ASimplesComplexo</v>
      </c>
      <c r="B895" s="229" t="s">
        <v>232</v>
      </c>
      <c r="C895" s="229" t="s">
        <v>220</v>
      </c>
      <c r="D895" s="229" t="s">
        <v>25</v>
      </c>
      <c r="E895" s="229" t="s">
        <v>26</v>
      </c>
      <c r="F895" s="229" t="s">
        <v>76</v>
      </c>
      <c r="G895">
        <v>5</v>
      </c>
    </row>
    <row r="896" spans="1:7" hidden="1" x14ac:dyDescent="0.2">
      <c r="A896" t="str">
        <f t="shared" si="15"/>
        <v>JobBanco de Dados (DML, DDL)AMédioSimples</v>
      </c>
      <c r="B896" s="229" t="s">
        <v>232</v>
      </c>
      <c r="C896" s="229" t="s">
        <v>220</v>
      </c>
      <c r="D896" s="229" t="s">
        <v>25</v>
      </c>
      <c r="E896" s="229" t="s">
        <v>75</v>
      </c>
      <c r="F896" s="229" t="s">
        <v>26</v>
      </c>
      <c r="G896">
        <v>3</v>
      </c>
    </row>
    <row r="897" spans="1:7" hidden="1" x14ac:dyDescent="0.2">
      <c r="A897" t="str">
        <f t="shared" si="15"/>
        <v>JobBanco de Dados (DML, DDL)AMédioMédio</v>
      </c>
      <c r="B897" s="229" t="s">
        <v>232</v>
      </c>
      <c r="C897" s="229" t="s">
        <v>220</v>
      </c>
      <c r="D897" s="229" t="s">
        <v>25</v>
      </c>
      <c r="E897" s="229" t="s">
        <v>75</v>
      </c>
      <c r="F897" s="229" t="s">
        <v>75</v>
      </c>
      <c r="G897">
        <v>6</v>
      </c>
    </row>
    <row r="898" spans="1:7" hidden="1" x14ac:dyDescent="0.2">
      <c r="A898" t="str">
        <f t="shared" si="15"/>
        <v>JobBanco de Dados (DML, DDL)AMédioComplexo</v>
      </c>
      <c r="B898" s="229" t="s">
        <v>232</v>
      </c>
      <c r="C898" s="229" t="s">
        <v>220</v>
      </c>
      <c r="D898" s="229" t="s">
        <v>25</v>
      </c>
      <c r="E898" s="229" t="s">
        <v>75</v>
      </c>
      <c r="F898" s="229" t="s">
        <v>76</v>
      </c>
      <c r="G898">
        <v>8</v>
      </c>
    </row>
    <row r="899" spans="1:7" hidden="1" x14ac:dyDescent="0.2">
      <c r="A899" t="str">
        <f t="shared" si="15"/>
        <v>JobBanco de Dados (DML, DDL)AComplexoSimples</v>
      </c>
      <c r="B899" s="229" t="s">
        <v>232</v>
      </c>
      <c r="C899" s="229" t="s">
        <v>220</v>
      </c>
      <c r="D899" s="229" t="s">
        <v>25</v>
      </c>
      <c r="E899" s="229" t="s">
        <v>76</v>
      </c>
      <c r="F899" s="229" t="s">
        <v>26</v>
      </c>
      <c r="G899">
        <v>5</v>
      </c>
    </row>
    <row r="900" spans="1:7" hidden="1" x14ac:dyDescent="0.2">
      <c r="A900" t="str">
        <f t="shared" si="15"/>
        <v>JobBanco de Dados (DML, DDL)AComplexoMédio</v>
      </c>
      <c r="B900" s="229" t="s">
        <v>232</v>
      </c>
      <c r="C900" s="229" t="s">
        <v>220</v>
      </c>
      <c r="D900" s="229" t="s">
        <v>25</v>
      </c>
      <c r="E900" s="229" t="s">
        <v>76</v>
      </c>
      <c r="F900" s="229" t="s">
        <v>75</v>
      </c>
      <c r="G900">
        <v>8</v>
      </c>
    </row>
    <row r="901" spans="1:7" hidden="1" x14ac:dyDescent="0.2">
      <c r="A901" t="str">
        <f t="shared" si="15"/>
        <v>JobBanco de Dados (DML, DDL)AComplexoComplexo</v>
      </c>
      <c r="B901" s="229" t="s">
        <v>232</v>
      </c>
      <c r="C901" s="229" t="s">
        <v>220</v>
      </c>
      <c r="D901" s="229" t="s">
        <v>25</v>
      </c>
      <c r="E901" s="229" t="s">
        <v>76</v>
      </c>
      <c r="F901" s="229" t="s">
        <v>76</v>
      </c>
      <c r="G901">
        <v>10</v>
      </c>
    </row>
    <row r="902" spans="1:7" hidden="1" x14ac:dyDescent="0.2">
      <c r="A902" t="str">
        <f t="shared" si="15"/>
        <v>JobBanco de Dados (PL/SQL)NSimples</v>
      </c>
      <c r="B902" s="229" t="s">
        <v>232</v>
      </c>
      <c r="C902" s="229" t="s">
        <v>203</v>
      </c>
      <c r="D902" s="229" t="s">
        <v>24</v>
      </c>
      <c r="E902" s="229" t="s">
        <v>26</v>
      </c>
      <c r="F902" s="229"/>
      <c r="G902">
        <v>4</v>
      </c>
    </row>
    <row r="903" spans="1:7" hidden="1" x14ac:dyDescent="0.2">
      <c r="A903" t="str">
        <f t="shared" si="15"/>
        <v>JobBanco de Dados (PL/SQL)NMédio</v>
      </c>
      <c r="B903" s="229" t="s">
        <v>232</v>
      </c>
      <c r="C903" s="229" t="s">
        <v>203</v>
      </c>
      <c r="D903" s="229" t="s">
        <v>24</v>
      </c>
      <c r="E903" s="229" t="s">
        <v>75</v>
      </c>
      <c r="F903" s="229"/>
      <c r="G903">
        <v>8</v>
      </c>
    </row>
    <row r="904" spans="1:7" hidden="1" x14ac:dyDescent="0.2">
      <c r="A904" t="str">
        <f t="shared" si="15"/>
        <v>JobBanco de Dados (PL/SQL)NComplexo</v>
      </c>
      <c r="B904" s="229" t="s">
        <v>232</v>
      </c>
      <c r="C904" s="229" t="s">
        <v>203</v>
      </c>
      <c r="D904" s="229" t="s">
        <v>24</v>
      </c>
      <c r="E904" s="229" t="s">
        <v>76</v>
      </c>
      <c r="F904" s="229"/>
      <c r="G904">
        <v>12</v>
      </c>
    </row>
    <row r="905" spans="1:7" hidden="1" x14ac:dyDescent="0.2">
      <c r="A905" t="str">
        <f t="shared" si="15"/>
        <v>JobBanco de Dados (PL/SQL)ASimplesSimples</v>
      </c>
      <c r="B905" s="229" t="s">
        <v>232</v>
      </c>
      <c r="C905" s="229" t="s">
        <v>203</v>
      </c>
      <c r="D905" s="229" t="s">
        <v>25</v>
      </c>
      <c r="E905" s="229" t="s">
        <v>26</v>
      </c>
      <c r="F905" s="229" t="s">
        <v>26</v>
      </c>
      <c r="G905">
        <v>2</v>
      </c>
    </row>
    <row r="906" spans="1:7" hidden="1" x14ac:dyDescent="0.2">
      <c r="A906" t="str">
        <f t="shared" si="15"/>
        <v>JobBanco de Dados (PL/SQL)ASimplesMédio</v>
      </c>
      <c r="B906" s="229" t="s">
        <v>232</v>
      </c>
      <c r="C906" s="229" t="s">
        <v>203</v>
      </c>
      <c r="D906" s="229" t="s">
        <v>25</v>
      </c>
      <c r="E906" s="229" t="s">
        <v>26</v>
      </c>
      <c r="F906" s="229" t="s">
        <v>75</v>
      </c>
      <c r="G906">
        <v>4</v>
      </c>
    </row>
    <row r="907" spans="1:7" hidden="1" x14ac:dyDescent="0.2">
      <c r="A907" t="str">
        <f t="shared" si="15"/>
        <v>JobBanco de Dados (PL/SQL)ASimplesComplexo</v>
      </c>
      <c r="B907" s="229" t="s">
        <v>232</v>
      </c>
      <c r="C907" s="229" t="s">
        <v>203</v>
      </c>
      <c r="D907" s="229" t="s">
        <v>25</v>
      </c>
      <c r="E907" s="229" t="s">
        <v>26</v>
      </c>
      <c r="F907" s="229" t="s">
        <v>76</v>
      </c>
      <c r="G907">
        <v>6</v>
      </c>
    </row>
    <row r="908" spans="1:7" hidden="1" x14ac:dyDescent="0.2">
      <c r="A908" t="str">
        <f t="shared" si="15"/>
        <v>JobBanco de Dados (PL/SQL)AMédioSimples</v>
      </c>
      <c r="B908" s="229" t="s">
        <v>232</v>
      </c>
      <c r="C908" s="229" t="s">
        <v>203</v>
      </c>
      <c r="D908" s="229" t="s">
        <v>25</v>
      </c>
      <c r="E908" s="229" t="s">
        <v>75</v>
      </c>
      <c r="F908" s="229" t="s">
        <v>26</v>
      </c>
      <c r="G908">
        <v>4</v>
      </c>
    </row>
    <row r="909" spans="1:7" hidden="1" x14ac:dyDescent="0.2">
      <c r="A909" t="str">
        <f t="shared" si="15"/>
        <v>JobBanco de Dados (PL/SQL)AMédioMédio</v>
      </c>
      <c r="B909" s="229" t="s">
        <v>232</v>
      </c>
      <c r="C909" s="229" t="s">
        <v>203</v>
      </c>
      <c r="D909" s="229" t="s">
        <v>25</v>
      </c>
      <c r="E909" s="229" t="s">
        <v>75</v>
      </c>
      <c r="F909" s="229" t="s">
        <v>75</v>
      </c>
      <c r="G909">
        <v>6</v>
      </c>
    </row>
    <row r="910" spans="1:7" hidden="1" x14ac:dyDescent="0.2">
      <c r="A910" t="str">
        <f t="shared" si="15"/>
        <v>JobBanco de Dados (PL/SQL)AMédioComplexo</v>
      </c>
      <c r="B910" s="229" t="s">
        <v>232</v>
      </c>
      <c r="C910" s="229" t="s">
        <v>203</v>
      </c>
      <c r="D910" s="229" t="s">
        <v>25</v>
      </c>
      <c r="E910" s="229" t="s">
        <v>75</v>
      </c>
      <c r="F910" s="229" t="s">
        <v>76</v>
      </c>
      <c r="G910">
        <v>9</v>
      </c>
    </row>
    <row r="911" spans="1:7" hidden="1" x14ac:dyDescent="0.2">
      <c r="A911" t="str">
        <f t="shared" si="15"/>
        <v>JobBanco de Dados (PL/SQL)AComplexoSimples</v>
      </c>
      <c r="B911" s="229" t="s">
        <v>232</v>
      </c>
      <c r="C911" s="229" t="s">
        <v>203</v>
      </c>
      <c r="D911" s="229" t="s">
        <v>25</v>
      </c>
      <c r="E911" s="229" t="s">
        <v>76</v>
      </c>
      <c r="F911" s="229" t="s">
        <v>26</v>
      </c>
      <c r="G911">
        <v>7</v>
      </c>
    </row>
    <row r="912" spans="1:7" hidden="1" x14ac:dyDescent="0.2">
      <c r="A912" t="str">
        <f t="shared" si="15"/>
        <v>JobBanco de Dados (PL/SQL)AComplexoMédio</v>
      </c>
      <c r="B912" s="229" t="s">
        <v>232</v>
      </c>
      <c r="C912" s="229" t="s">
        <v>203</v>
      </c>
      <c r="D912" s="229" t="s">
        <v>25</v>
      </c>
      <c r="E912" s="229" t="s">
        <v>76</v>
      </c>
      <c r="F912" s="229" t="s">
        <v>75</v>
      </c>
      <c r="G912">
        <v>9</v>
      </c>
    </row>
    <row r="913" spans="1:7" hidden="1" x14ac:dyDescent="0.2">
      <c r="A913" t="str">
        <f t="shared" si="15"/>
        <v>JobBanco de Dados (PL/SQL)AComplexoComplexo</v>
      </c>
      <c r="B913" s="229" t="s">
        <v>232</v>
      </c>
      <c r="C913" s="229" t="s">
        <v>203</v>
      </c>
      <c r="D913" s="229" t="s">
        <v>25</v>
      </c>
      <c r="E913" s="229" t="s">
        <v>76</v>
      </c>
      <c r="F913" s="229" t="s">
        <v>76</v>
      </c>
      <c r="G913">
        <v>12</v>
      </c>
    </row>
    <row r="914" spans="1:7" hidden="1" x14ac:dyDescent="0.2">
      <c r="A914" t="str">
        <f t="shared" ref="A914:A945" si="16">B914&amp;C914&amp;D914&amp;E914&amp;F914</f>
        <v>JobJAVA: Transformação de ObjetosNSimples</v>
      </c>
      <c r="B914" s="229" t="s">
        <v>232</v>
      </c>
      <c r="C914" s="229" t="s">
        <v>205</v>
      </c>
      <c r="D914" s="229" t="s">
        <v>24</v>
      </c>
      <c r="E914" s="229" t="s">
        <v>26</v>
      </c>
      <c r="F914" s="229"/>
      <c r="G914">
        <v>1</v>
      </c>
    </row>
    <row r="915" spans="1:7" hidden="1" x14ac:dyDescent="0.2">
      <c r="A915" t="str">
        <f t="shared" si="16"/>
        <v>JobJAVA: Transformação de ObjetosNMédio</v>
      </c>
      <c r="B915" s="229" t="s">
        <v>232</v>
      </c>
      <c r="C915" s="229" t="s">
        <v>205</v>
      </c>
      <c r="D915" s="229" t="s">
        <v>24</v>
      </c>
      <c r="E915" s="229" t="s">
        <v>75</v>
      </c>
      <c r="F915" s="229"/>
      <c r="G915">
        <v>3</v>
      </c>
    </row>
    <row r="916" spans="1:7" hidden="1" x14ac:dyDescent="0.2">
      <c r="A916" t="str">
        <f t="shared" si="16"/>
        <v>JobJAVA: Transformação de ObjetosNComplexo</v>
      </c>
      <c r="B916" s="229" t="s">
        <v>232</v>
      </c>
      <c r="C916" s="229" t="s">
        <v>205</v>
      </c>
      <c r="D916" s="229" t="s">
        <v>24</v>
      </c>
      <c r="E916" s="229" t="s">
        <v>76</v>
      </c>
      <c r="F916" s="229"/>
      <c r="G916">
        <v>5</v>
      </c>
    </row>
    <row r="917" spans="1:7" hidden="1" x14ac:dyDescent="0.2">
      <c r="A917" t="str">
        <f t="shared" si="16"/>
        <v>JobJAVA: Transformação de ObjetosASimplesSimples</v>
      </c>
      <c r="B917" s="229" t="s">
        <v>232</v>
      </c>
      <c r="C917" s="229" t="s">
        <v>205</v>
      </c>
      <c r="D917" s="229" t="s">
        <v>25</v>
      </c>
      <c r="E917" s="229" t="s">
        <v>26</v>
      </c>
      <c r="F917" s="229" t="s">
        <v>26</v>
      </c>
      <c r="G917">
        <v>1</v>
      </c>
    </row>
    <row r="918" spans="1:7" hidden="1" x14ac:dyDescent="0.2">
      <c r="A918" t="str">
        <f t="shared" si="16"/>
        <v>JobJAVA: Transformação de ObjetosASimplesMédio</v>
      </c>
      <c r="B918" s="229" t="s">
        <v>232</v>
      </c>
      <c r="C918" s="229" t="s">
        <v>205</v>
      </c>
      <c r="D918" s="229" t="s">
        <v>25</v>
      </c>
      <c r="E918" s="229" t="s">
        <v>26</v>
      </c>
      <c r="F918" s="229" t="s">
        <v>75</v>
      </c>
      <c r="G918">
        <v>2</v>
      </c>
    </row>
    <row r="919" spans="1:7" hidden="1" x14ac:dyDescent="0.2">
      <c r="A919" t="str">
        <f t="shared" si="16"/>
        <v>JobJAVA: Transformação de ObjetosASimplesComplexo</v>
      </c>
      <c r="B919" s="229" t="s">
        <v>232</v>
      </c>
      <c r="C919" s="229" t="s">
        <v>205</v>
      </c>
      <c r="D919" s="229" t="s">
        <v>25</v>
      </c>
      <c r="E919" s="229" t="s">
        <v>26</v>
      </c>
      <c r="F919" s="229" t="s">
        <v>76</v>
      </c>
      <c r="G919">
        <v>4</v>
      </c>
    </row>
    <row r="920" spans="1:7" hidden="1" x14ac:dyDescent="0.2">
      <c r="A920" t="str">
        <f t="shared" si="16"/>
        <v>JobJAVA: Transformação de ObjetosAMédioSimples</v>
      </c>
      <c r="B920" s="229" t="s">
        <v>232</v>
      </c>
      <c r="C920" s="229" t="s">
        <v>205</v>
      </c>
      <c r="D920" s="229" t="s">
        <v>25</v>
      </c>
      <c r="E920" s="229" t="s">
        <v>75</v>
      </c>
      <c r="F920" s="229" t="s">
        <v>26</v>
      </c>
      <c r="G920">
        <v>3</v>
      </c>
    </row>
    <row r="921" spans="1:7" hidden="1" x14ac:dyDescent="0.2">
      <c r="A921" t="str">
        <f t="shared" si="16"/>
        <v>JobJAVA: Transformação de ObjetosAMédioMédio</v>
      </c>
      <c r="B921" s="229" t="s">
        <v>232</v>
      </c>
      <c r="C921" s="229" t="s">
        <v>205</v>
      </c>
      <c r="D921" s="229" t="s">
        <v>25</v>
      </c>
      <c r="E921" s="229" t="s">
        <v>75</v>
      </c>
      <c r="F921" s="229" t="s">
        <v>75</v>
      </c>
      <c r="G921">
        <v>5</v>
      </c>
    </row>
    <row r="922" spans="1:7" hidden="1" x14ac:dyDescent="0.2">
      <c r="A922" t="str">
        <f t="shared" si="16"/>
        <v>JobJAVA: Transformação de ObjetosAMédioComplexo</v>
      </c>
      <c r="B922" s="229" t="s">
        <v>232</v>
      </c>
      <c r="C922" s="229" t="s">
        <v>205</v>
      </c>
      <c r="D922" s="229" t="s">
        <v>25</v>
      </c>
      <c r="E922" s="229" t="s">
        <v>75</v>
      </c>
      <c r="F922" s="229" t="s">
        <v>76</v>
      </c>
      <c r="G922">
        <v>6</v>
      </c>
    </row>
    <row r="923" spans="1:7" hidden="1" x14ac:dyDescent="0.2">
      <c r="A923" t="str">
        <f t="shared" si="16"/>
        <v>JobJAVA: Transformação de ObjetosAComplexoSimples</v>
      </c>
      <c r="B923" s="229" t="s">
        <v>232</v>
      </c>
      <c r="C923" s="229" t="s">
        <v>205</v>
      </c>
      <c r="D923" s="229" t="s">
        <v>25</v>
      </c>
      <c r="E923" s="229" t="s">
        <v>76</v>
      </c>
      <c r="F923" s="229" t="s">
        <v>26</v>
      </c>
      <c r="G923">
        <v>4</v>
      </c>
    </row>
    <row r="924" spans="1:7" hidden="1" x14ac:dyDescent="0.2">
      <c r="A924" t="str">
        <f t="shared" si="16"/>
        <v>JobJAVA: Transformação de ObjetosAComplexoMédio</v>
      </c>
      <c r="B924" s="229" t="s">
        <v>232</v>
      </c>
      <c r="C924" s="229" t="s">
        <v>205</v>
      </c>
      <c r="D924" s="229" t="s">
        <v>25</v>
      </c>
      <c r="E924" s="229" t="s">
        <v>76</v>
      </c>
      <c r="F924" s="229" t="s">
        <v>75</v>
      </c>
      <c r="G924">
        <v>6</v>
      </c>
    </row>
    <row r="925" spans="1:7" hidden="1" x14ac:dyDescent="0.2">
      <c r="A925" t="str">
        <f t="shared" si="16"/>
        <v>JobJAVA: Transformação de ObjetosAComplexoComplexo</v>
      </c>
      <c r="B925" s="229" t="s">
        <v>232</v>
      </c>
      <c r="C925" s="229" t="s">
        <v>205</v>
      </c>
      <c r="D925" s="229" t="s">
        <v>25</v>
      </c>
      <c r="E925" s="229" t="s">
        <v>76</v>
      </c>
      <c r="F925" s="229" t="s">
        <v>76</v>
      </c>
      <c r="G925">
        <v>8</v>
      </c>
    </row>
    <row r="926" spans="1:7" hidden="1" x14ac:dyDescent="0.2">
      <c r="A926" t="str">
        <f t="shared" si="16"/>
        <v>JobJAVA: Métodos de Negócio (Controller)NSimples</v>
      </c>
      <c r="B926" s="229" t="s">
        <v>232</v>
      </c>
      <c r="C926" s="229" t="s">
        <v>206</v>
      </c>
      <c r="D926" s="229" t="s">
        <v>24</v>
      </c>
      <c r="E926" s="229" t="s">
        <v>26</v>
      </c>
      <c r="F926" s="229"/>
      <c r="G926">
        <v>8</v>
      </c>
    </row>
    <row r="927" spans="1:7" hidden="1" x14ac:dyDescent="0.2">
      <c r="A927" t="str">
        <f t="shared" si="16"/>
        <v>JobJAVA: Métodos de Negócio (Controller)NMédio</v>
      </c>
      <c r="B927" s="229" t="s">
        <v>232</v>
      </c>
      <c r="C927" s="229" t="s">
        <v>206</v>
      </c>
      <c r="D927" s="229" t="s">
        <v>24</v>
      </c>
      <c r="E927" s="229" t="s">
        <v>75</v>
      </c>
      <c r="F927" s="229"/>
      <c r="G927">
        <v>16</v>
      </c>
    </row>
    <row r="928" spans="1:7" hidden="1" x14ac:dyDescent="0.2">
      <c r="A928" t="str">
        <f t="shared" si="16"/>
        <v>JobJAVA: Métodos de Negócio (Controller)NComplexo</v>
      </c>
      <c r="B928" s="229" t="s">
        <v>232</v>
      </c>
      <c r="C928" s="229" t="s">
        <v>206</v>
      </c>
      <c r="D928" s="229" t="s">
        <v>24</v>
      </c>
      <c r="E928" s="229" t="s">
        <v>76</v>
      </c>
      <c r="F928" s="229"/>
      <c r="G928">
        <v>24</v>
      </c>
    </row>
    <row r="929" spans="1:7" hidden="1" x14ac:dyDescent="0.2">
      <c r="A929" t="str">
        <f t="shared" si="16"/>
        <v>JobJAVA: Métodos de Negócio (Controller)ASimplesSimples</v>
      </c>
      <c r="B929" s="229" t="s">
        <v>232</v>
      </c>
      <c r="C929" s="229" t="s">
        <v>206</v>
      </c>
      <c r="D929" s="229" t="s">
        <v>25</v>
      </c>
      <c r="E929" s="229" t="s">
        <v>26</v>
      </c>
      <c r="F929" s="229" t="s">
        <v>26</v>
      </c>
      <c r="G929">
        <v>3</v>
      </c>
    </row>
    <row r="930" spans="1:7" hidden="1" x14ac:dyDescent="0.2">
      <c r="A930" t="str">
        <f t="shared" si="16"/>
        <v>JobJAVA: Métodos de Negócio (Controller)ASimplesMédio</v>
      </c>
      <c r="B930" s="229" t="s">
        <v>232</v>
      </c>
      <c r="C930" s="229" t="s">
        <v>206</v>
      </c>
      <c r="D930" s="229" t="s">
        <v>25</v>
      </c>
      <c r="E930" s="229" t="s">
        <v>26</v>
      </c>
      <c r="F930" s="229" t="s">
        <v>75</v>
      </c>
      <c r="G930">
        <v>5</v>
      </c>
    </row>
    <row r="931" spans="1:7" hidden="1" x14ac:dyDescent="0.2">
      <c r="A931" t="str">
        <f t="shared" si="16"/>
        <v>JobJAVA: Métodos de Negócio (Controller)ASimplesComplexo</v>
      </c>
      <c r="B931" s="229" t="s">
        <v>232</v>
      </c>
      <c r="C931" s="229" t="s">
        <v>206</v>
      </c>
      <c r="D931" s="229" t="s">
        <v>25</v>
      </c>
      <c r="E931" s="229" t="s">
        <v>26</v>
      </c>
      <c r="F931" s="229" t="s">
        <v>76</v>
      </c>
      <c r="G931">
        <v>7</v>
      </c>
    </row>
    <row r="932" spans="1:7" hidden="1" x14ac:dyDescent="0.2">
      <c r="A932" t="str">
        <f t="shared" si="16"/>
        <v>JobJAVA: Métodos de Negócio (Controller)AMédioSimples</v>
      </c>
      <c r="B932" s="229" t="s">
        <v>232</v>
      </c>
      <c r="C932" s="229" t="s">
        <v>206</v>
      </c>
      <c r="D932" s="229" t="s">
        <v>25</v>
      </c>
      <c r="E932" s="229" t="s">
        <v>75</v>
      </c>
      <c r="F932" s="229" t="s">
        <v>26</v>
      </c>
      <c r="G932" s="229">
        <v>8</v>
      </c>
    </row>
    <row r="933" spans="1:7" hidden="1" x14ac:dyDescent="0.2">
      <c r="A933" t="str">
        <f t="shared" si="16"/>
        <v>JobJAVA: Métodos de Negócio (Controller)AMédioMédio</v>
      </c>
      <c r="B933" s="229" t="s">
        <v>232</v>
      </c>
      <c r="C933" s="229" t="s">
        <v>206</v>
      </c>
      <c r="D933" s="229" t="s">
        <v>25</v>
      </c>
      <c r="E933" s="229" t="s">
        <v>75</v>
      </c>
      <c r="F933" s="229" t="s">
        <v>75</v>
      </c>
      <c r="G933">
        <v>10</v>
      </c>
    </row>
    <row r="934" spans="1:7" hidden="1" x14ac:dyDescent="0.2">
      <c r="A934" t="str">
        <f t="shared" si="16"/>
        <v>JobJAVA: Métodos de Negócio (Controller)AMédioComplexo</v>
      </c>
      <c r="B934" s="229" t="s">
        <v>232</v>
      </c>
      <c r="C934" s="229" t="s">
        <v>206</v>
      </c>
      <c r="D934" s="229" t="s">
        <v>25</v>
      </c>
      <c r="E934" s="229" t="s">
        <v>75</v>
      </c>
      <c r="F934" s="229" t="s">
        <v>76</v>
      </c>
      <c r="G934">
        <v>14</v>
      </c>
    </row>
    <row r="935" spans="1:7" hidden="1" x14ac:dyDescent="0.2">
      <c r="A935" t="str">
        <f t="shared" si="16"/>
        <v>JobJAVA: Métodos de Negócio (Controller)AComplexoSimples</v>
      </c>
      <c r="B935" s="229" t="s">
        <v>232</v>
      </c>
      <c r="C935" s="229" t="s">
        <v>206</v>
      </c>
      <c r="D935" s="229" t="s">
        <v>25</v>
      </c>
      <c r="E935" s="229" t="s">
        <v>76</v>
      </c>
      <c r="F935" s="229" t="s">
        <v>26</v>
      </c>
      <c r="G935">
        <v>6</v>
      </c>
    </row>
    <row r="936" spans="1:7" hidden="1" x14ac:dyDescent="0.2">
      <c r="A936" t="str">
        <f t="shared" si="16"/>
        <v>JobJAVA: Métodos de Negócio (Controller)AComplexoMédio</v>
      </c>
      <c r="B936" s="229" t="s">
        <v>232</v>
      </c>
      <c r="C936" s="229" t="s">
        <v>206</v>
      </c>
      <c r="D936" s="229" t="s">
        <v>25</v>
      </c>
      <c r="E936" s="229" t="s">
        <v>76</v>
      </c>
      <c r="F936" s="229" t="s">
        <v>75</v>
      </c>
      <c r="G936">
        <v>10</v>
      </c>
    </row>
    <row r="937" spans="1:7" hidden="1" x14ac:dyDescent="0.2">
      <c r="A937" t="str">
        <f t="shared" si="16"/>
        <v>JobJAVA: Métodos de Negócio (Controller)AComplexoComplexo</v>
      </c>
      <c r="B937" s="229" t="s">
        <v>232</v>
      </c>
      <c r="C937" s="229" t="s">
        <v>206</v>
      </c>
      <c r="D937" s="229" t="s">
        <v>25</v>
      </c>
      <c r="E937" s="229" t="s">
        <v>76</v>
      </c>
      <c r="F937" s="229" t="s">
        <v>76</v>
      </c>
      <c r="G937">
        <v>16</v>
      </c>
    </row>
    <row r="938" spans="1:7" hidden="1" x14ac:dyDescent="0.2">
      <c r="A938" t="str">
        <f t="shared" si="16"/>
        <v>JobJAVA: EntityNSimples</v>
      </c>
      <c r="B938" s="229" t="s">
        <v>232</v>
      </c>
      <c r="C938" s="229" t="s">
        <v>207</v>
      </c>
      <c r="D938" s="229" t="s">
        <v>24</v>
      </c>
      <c r="E938" s="229" t="s">
        <v>26</v>
      </c>
      <c r="F938" s="229"/>
      <c r="G938">
        <v>1</v>
      </c>
    </row>
    <row r="939" spans="1:7" hidden="1" x14ac:dyDescent="0.2">
      <c r="A939" t="str">
        <f t="shared" si="16"/>
        <v>JobJAVA: EntityNMédio</v>
      </c>
      <c r="B939" s="229" t="s">
        <v>232</v>
      </c>
      <c r="C939" s="229" t="s">
        <v>207</v>
      </c>
      <c r="D939" s="229" t="s">
        <v>24</v>
      </c>
      <c r="E939" s="229" t="s">
        <v>75</v>
      </c>
      <c r="F939" s="229"/>
      <c r="G939">
        <v>2</v>
      </c>
    </row>
    <row r="940" spans="1:7" hidden="1" x14ac:dyDescent="0.2">
      <c r="A940" t="str">
        <f t="shared" si="16"/>
        <v>JobJAVA: EntityNComplexo</v>
      </c>
      <c r="B940" s="229" t="s">
        <v>232</v>
      </c>
      <c r="C940" s="229" t="s">
        <v>207</v>
      </c>
      <c r="D940" s="229" t="s">
        <v>24</v>
      </c>
      <c r="E940" s="229" t="s">
        <v>76</v>
      </c>
      <c r="F940" s="229"/>
      <c r="G940">
        <v>4</v>
      </c>
    </row>
    <row r="941" spans="1:7" hidden="1" x14ac:dyDescent="0.2">
      <c r="A941" t="str">
        <f t="shared" si="16"/>
        <v>JobJAVA: EntityASimplesSimples</v>
      </c>
      <c r="B941" s="229" t="s">
        <v>232</v>
      </c>
      <c r="C941" s="229" t="s">
        <v>207</v>
      </c>
      <c r="D941" s="229" t="s">
        <v>25</v>
      </c>
      <c r="E941" s="229" t="s">
        <v>26</v>
      </c>
      <c r="F941" s="229" t="s">
        <v>26</v>
      </c>
      <c r="G941">
        <v>1</v>
      </c>
    </row>
    <row r="942" spans="1:7" hidden="1" x14ac:dyDescent="0.2">
      <c r="A942" t="str">
        <f t="shared" si="16"/>
        <v>JobJAVA: EntityASimplesMédio</v>
      </c>
      <c r="B942" s="229" t="s">
        <v>232</v>
      </c>
      <c r="C942" s="229" t="s">
        <v>207</v>
      </c>
      <c r="D942" s="229" t="s">
        <v>25</v>
      </c>
      <c r="E942" s="229" t="s">
        <v>26</v>
      </c>
      <c r="F942" s="229" t="s">
        <v>75</v>
      </c>
      <c r="G942">
        <v>2</v>
      </c>
    </row>
    <row r="943" spans="1:7" hidden="1" x14ac:dyDescent="0.2">
      <c r="A943" t="str">
        <f t="shared" si="16"/>
        <v>JobJAVA: EntityASimplesComplexo</v>
      </c>
      <c r="B943" s="229" t="s">
        <v>232</v>
      </c>
      <c r="C943" s="229" t="s">
        <v>207</v>
      </c>
      <c r="D943" s="229" t="s">
        <v>25</v>
      </c>
      <c r="E943" s="229" t="s">
        <v>26</v>
      </c>
      <c r="F943" s="229" t="s">
        <v>76</v>
      </c>
      <c r="G943">
        <v>3</v>
      </c>
    </row>
    <row r="944" spans="1:7" hidden="1" x14ac:dyDescent="0.2">
      <c r="A944" t="str">
        <f t="shared" si="16"/>
        <v>JobJAVA: EntityAMédioSimples</v>
      </c>
      <c r="B944" s="229" t="s">
        <v>232</v>
      </c>
      <c r="C944" s="229" t="s">
        <v>207</v>
      </c>
      <c r="D944" s="229" t="s">
        <v>25</v>
      </c>
      <c r="E944" s="229" t="s">
        <v>75</v>
      </c>
      <c r="F944" s="229" t="s">
        <v>26</v>
      </c>
      <c r="G944">
        <v>2</v>
      </c>
    </row>
    <row r="945" spans="1:7" hidden="1" x14ac:dyDescent="0.2">
      <c r="A945" t="str">
        <f t="shared" si="16"/>
        <v>JobJAVA: EntityAMédioMédio</v>
      </c>
      <c r="B945" s="229" t="s">
        <v>232</v>
      </c>
      <c r="C945" s="229" t="s">
        <v>207</v>
      </c>
      <c r="D945" s="229" t="s">
        <v>25</v>
      </c>
      <c r="E945" s="229" t="s">
        <v>75</v>
      </c>
      <c r="F945" s="229" t="s">
        <v>75</v>
      </c>
      <c r="G945">
        <v>3</v>
      </c>
    </row>
    <row r="946" spans="1:7" hidden="1" x14ac:dyDescent="0.2">
      <c r="A946" t="str">
        <f t="shared" ref="A946:A961" si="17">B946&amp;C946&amp;D946&amp;E946&amp;F946</f>
        <v>JobJAVA: EntityAMédioComplexo</v>
      </c>
      <c r="B946" s="229" t="s">
        <v>232</v>
      </c>
      <c r="C946" s="229" t="s">
        <v>207</v>
      </c>
      <c r="D946" s="229" t="s">
        <v>25</v>
      </c>
      <c r="E946" s="229" t="s">
        <v>75</v>
      </c>
      <c r="F946" s="229" t="s">
        <v>76</v>
      </c>
      <c r="G946">
        <v>4</v>
      </c>
    </row>
    <row r="947" spans="1:7" hidden="1" x14ac:dyDescent="0.2">
      <c r="A947" t="str">
        <f t="shared" si="17"/>
        <v>JobJAVA: EntityAComplexoSimples</v>
      </c>
      <c r="B947" s="229" t="s">
        <v>232</v>
      </c>
      <c r="C947" s="229" t="s">
        <v>207</v>
      </c>
      <c r="D947" s="229" t="s">
        <v>25</v>
      </c>
      <c r="E947" s="229" t="s">
        <v>76</v>
      </c>
      <c r="F947" s="229" t="s">
        <v>26</v>
      </c>
      <c r="G947">
        <v>3</v>
      </c>
    </row>
    <row r="948" spans="1:7" hidden="1" x14ac:dyDescent="0.2">
      <c r="A948" t="str">
        <f t="shared" si="17"/>
        <v>JobJAVA: EntityAComplexoMédio</v>
      </c>
      <c r="B948" s="229" t="s">
        <v>232</v>
      </c>
      <c r="C948" s="229" t="s">
        <v>207</v>
      </c>
      <c r="D948" s="229" t="s">
        <v>25</v>
      </c>
      <c r="E948" s="229" t="s">
        <v>76</v>
      </c>
      <c r="F948" s="229" t="s">
        <v>75</v>
      </c>
      <c r="G948">
        <v>5</v>
      </c>
    </row>
    <row r="949" spans="1:7" hidden="1" x14ac:dyDescent="0.2">
      <c r="A949" t="str">
        <f t="shared" si="17"/>
        <v>JobJAVA: EntityAComplexoComplexo</v>
      </c>
      <c r="B949" s="229" t="s">
        <v>232</v>
      </c>
      <c r="C949" s="229" t="s">
        <v>207</v>
      </c>
      <c r="D949" s="229" t="s">
        <v>25</v>
      </c>
      <c r="E949" s="229" t="s">
        <v>76</v>
      </c>
      <c r="F949" s="229" t="s">
        <v>76</v>
      </c>
      <c r="G949">
        <v>8</v>
      </c>
    </row>
    <row r="950" spans="1:7" hidden="1" x14ac:dyDescent="0.2">
      <c r="A950" t="str">
        <f t="shared" si="17"/>
        <v>JobJAVA: Consulta Banco de DadosNSimples</v>
      </c>
      <c r="B950" s="229" t="s">
        <v>232</v>
      </c>
      <c r="C950" s="229" t="s">
        <v>208</v>
      </c>
      <c r="D950" s="229" t="s">
        <v>24</v>
      </c>
      <c r="E950" s="229" t="s">
        <v>26</v>
      </c>
      <c r="F950" s="229"/>
      <c r="G950">
        <v>2</v>
      </c>
    </row>
    <row r="951" spans="1:7" hidden="1" x14ac:dyDescent="0.2">
      <c r="A951" t="str">
        <f t="shared" si="17"/>
        <v>JobJAVA: Consulta Banco de DadosNMédio</v>
      </c>
      <c r="B951" s="229" t="s">
        <v>232</v>
      </c>
      <c r="C951" s="229" t="s">
        <v>208</v>
      </c>
      <c r="D951" s="229" t="s">
        <v>24</v>
      </c>
      <c r="E951" s="229" t="s">
        <v>75</v>
      </c>
      <c r="F951" s="229"/>
      <c r="G951">
        <v>5</v>
      </c>
    </row>
    <row r="952" spans="1:7" hidden="1" x14ac:dyDescent="0.2">
      <c r="A952" t="str">
        <f t="shared" si="17"/>
        <v>JobJAVA: Consulta Banco de DadosNComplexo</v>
      </c>
      <c r="B952" s="229" t="s">
        <v>232</v>
      </c>
      <c r="C952" s="229" t="s">
        <v>208</v>
      </c>
      <c r="D952" s="229" t="s">
        <v>24</v>
      </c>
      <c r="E952" s="229" t="s">
        <v>76</v>
      </c>
      <c r="F952" s="229"/>
      <c r="G952">
        <v>8</v>
      </c>
    </row>
    <row r="953" spans="1:7" hidden="1" x14ac:dyDescent="0.2">
      <c r="A953" t="str">
        <f t="shared" si="17"/>
        <v>JobJAVA: Consulta Banco de DadosASimplesSimples</v>
      </c>
      <c r="B953" s="229" t="s">
        <v>232</v>
      </c>
      <c r="C953" s="229" t="s">
        <v>208</v>
      </c>
      <c r="D953" s="229" t="s">
        <v>25</v>
      </c>
      <c r="E953" s="229" t="s">
        <v>26</v>
      </c>
      <c r="F953" s="229" t="s">
        <v>26</v>
      </c>
      <c r="G953">
        <v>2</v>
      </c>
    </row>
    <row r="954" spans="1:7" hidden="1" x14ac:dyDescent="0.2">
      <c r="A954" t="str">
        <f t="shared" si="17"/>
        <v>JobJAVA: Consulta Banco de DadosASimplesMédio</v>
      </c>
      <c r="B954" s="229" t="s">
        <v>232</v>
      </c>
      <c r="C954" s="229" t="s">
        <v>208</v>
      </c>
      <c r="D954" s="229" t="s">
        <v>25</v>
      </c>
      <c r="E954" s="229" t="s">
        <v>26</v>
      </c>
      <c r="F954" s="229" t="s">
        <v>75</v>
      </c>
      <c r="G954">
        <v>4</v>
      </c>
    </row>
    <row r="955" spans="1:7" hidden="1" x14ac:dyDescent="0.2">
      <c r="A955" t="str">
        <f t="shared" si="17"/>
        <v>JobJAVA: Consulta Banco de DadosASimplesComplexo</v>
      </c>
      <c r="B955" s="229" t="s">
        <v>232</v>
      </c>
      <c r="C955" s="229" t="s">
        <v>208</v>
      </c>
      <c r="D955" s="229" t="s">
        <v>25</v>
      </c>
      <c r="E955" s="229" t="s">
        <v>26</v>
      </c>
      <c r="F955" s="229" t="s">
        <v>76</v>
      </c>
      <c r="G955">
        <v>6</v>
      </c>
    </row>
    <row r="956" spans="1:7" hidden="1" x14ac:dyDescent="0.2">
      <c r="A956" t="str">
        <f t="shared" si="17"/>
        <v>JobJAVA: Consulta Banco de DadosAMédioSimples</v>
      </c>
      <c r="B956" s="229" t="s">
        <v>232</v>
      </c>
      <c r="C956" s="229" t="s">
        <v>208</v>
      </c>
      <c r="D956" s="229" t="s">
        <v>25</v>
      </c>
      <c r="E956" s="229" t="s">
        <v>75</v>
      </c>
      <c r="F956" s="229" t="s">
        <v>26</v>
      </c>
      <c r="G956">
        <v>3</v>
      </c>
    </row>
    <row r="957" spans="1:7" hidden="1" x14ac:dyDescent="0.2">
      <c r="A957" t="str">
        <f t="shared" si="17"/>
        <v>JobJAVA: Consulta Banco de DadosAMédioMédio</v>
      </c>
      <c r="B957" s="229" t="s">
        <v>232</v>
      </c>
      <c r="C957" s="229" t="s">
        <v>208</v>
      </c>
      <c r="D957" s="229" t="s">
        <v>25</v>
      </c>
      <c r="E957" s="229" t="s">
        <v>75</v>
      </c>
      <c r="F957" s="229" t="s">
        <v>75</v>
      </c>
      <c r="G957">
        <v>6</v>
      </c>
    </row>
    <row r="958" spans="1:7" hidden="1" x14ac:dyDescent="0.2">
      <c r="A958" t="str">
        <f t="shared" si="17"/>
        <v>JobJAVA: Consulta Banco de DadosAMédioComplexo</v>
      </c>
      <c r="B958" s="229" t="s">
        <v>232</v>
      </c>
      <c r="C958" s="229" t="s">
        <v>208</v>
      </c>
      <c r="D958" s="229" t="s">
        <v>25</v>
      </c>
      <c r="E958" s="229" t="s">
        <v>75</v>
      </c>
      <c r="F958" s="229" t="s">
        <v>76</v>
      </c>
      <c r="G958">
        <v>8</v>
      </c>
    </row>
    <row r="959" spans="1:7" hidden="1" x14ac:dyDescent="0.2">
      <c r="A959" t="str">
        <f t="shared" si="17"/>
        <v>JobJAVA: Consulta Banco de DadosAComplexoSimples</v>
      </c>
      <c r="B959" s="229" t="s">
        <v>232</v>
      </c>
      <c r="C959" s="229" t="s">
        <v>208</v>
      </c>
      <c r="D959" s="229" t="s">
        <v>25</v>
      </c>
      <c r="E959" s="229" t="s">
        <v>76</v>
      </c>
      <c r="F959" s="229" t="s">
        <v>26</v>
      </c>
      <c r="G959">
        <v>5</v>
      </c>
    </row>
    <row r="960" spans="1:7" hidden="1" x14ac:dyDescent="0.2">
      <c r="A960" t="str">
        <f t="shared" si="17"/>
        <v>JobJAVA: Consulta Banco de DadosAComplexoMédio</v>
      </c>
      <c r="B960" s="229" t="s">
        <v>232</v>
      </c>
      <c r="C960" s="229" t="s">
        <v>208</v>
      </c>
      <c r="D960" s="229" t="s">
        <v>25</v>
      </c>
      <c r="E960" s="229" t="s">
        <v>76</v>
      </c>
      <c r="F960" s="229" t="s">
        <v>75</v>
      </c>
      <c r="G960">
        <v>8</v>
      </c>
    </row>
    <row r="961" spans="1:7" hidden="1" x14ac:dyDescent="0.2">
      <c r="A961" t="str">
        <f t="shared" si="17"/>
        <v>JobJAVA: Consulta Banco de DadosAComplexoComplexo</v>
      </c>
      <c r="B961" s="229" t="s">
        <v>232</v>
      </c>
      <c r="C961" s="229" t="s">
        <v>208</v>
      </c>
      <c r="D961" s="229" t="s">
        <v>25</v>
      </c>
      <c r="E961" s="229" t="s">
        <v>76</v>
      </c>
      <c r="F961" s="229" t="s">
        <v>76</v>
      </c>
      <c r="G961">
        <v>10</v>
      </c>
    </row>
    <row r="962" spans="1:7" hidden="1" x14ac:dyDescent="0.2">
      <c r="A962" t="str">
        <f t="shared" ref="A962:A1025" si="18">B962&amp;C962&amp;D962&amp;E962&amp;F962</f>
        <v>JobConfiguração Projeto/MóduloNSimples</v>
      </c>
      <c r="B962" s="229" t="s">
        <v>232</v>
      </c>
      <c r="C962" s="229" t="s">
        <v>221</v>
      </c>
      <c r="D962" s="229" t="s">
        <v>24</v>
      </c>
      <c r="E962" s="229" t="s">
        <v>26</v>
      </c>
      <c r="F962" s="229"/>
      <c r="G962">
        <v>2</v>
      </c>
    </row>
    <row r="963" spans="1:7" hidden="1" x14ac:dyDescent="0.2">
      <c r="A963" t="str">
        <f t="shared" si="18"/>
        <v>JobConfiguração Projeto/MóduloNMédio</v>
      </c>
      <c r="B963" s="229" t="s">
        <v>232</v>
      </c>
      <c r="C963" s="229" t="s">
        <v>221</v>
      </c>
      <c r="D963" s="229" t="s">
        <v>24</v>
      </c>
      <c r="E963" s="229" t="s">
        <v>75</v>
      </c>
      <c r="F963" s="229"/>
      <c r="G963">
        <v>4</v>
      </c>
    </row>
    <row r="964" spans="1:7" hidden="1" x14ac:dyDescent="0.2">
      <c r="A964" t="str">
        <f t="shared" si="18"/>
        <v>JobConfiguração Projeto/MóduloNComplexo</v>
      </c>
      <c r="B964" s="229" t="s">
        <v>232</v>
      </c>
      <c r="C964" s="229" t="s">
        <v>221</v>
      </c>
      <c r="D964" s="229" t="s">
        <v>24</v>
      </c>
      <c r="E964" s="229" t="s">
        <v>76</v>
      </c>
      <c r="F964" s="229"/>
      <c r="G964">
        <v>8</v>
      </c>
    </row>
    <row r="965" spans="1:7" hidden="1" x14ac:dyDescent="0.2">
      <c r="A965" t="str">
        <f t="shared" si="18"/>
        <v>JobConfiguração Projeto/MóduloASimplesSimples</v>
      </c>
      <c r="B965" s="229" t="s">
        <v>232</v>
      </c>
      <c r="C965" s="229" t="s">
        <v>221</v>
      </c>
      <c r="D965" s="229" t="s">
        <v>25</v>
      </c>
      <c r="E965" s="229" t="s">
        <v>26</v>
      </c>
      <c r="F965" s="229" t="s">
        <v>26</v>
      </c>
      <c r="G965">
        <v>1</v>
      </c>
    </row>
    <row r="966" spans="1:7" hidden="1" x14ac:dyDescent="0.2">
      <c r="A966" t="str">
        <f t="shared" si="18"/>
        <v>JobConfiguração Projeto/MóduloASimplesMédio</v>
      </c>
      <c r="B966" s="229" t="s">
        <v>232</v>
      </c>
      <c r="C966" s="229" t="s">
        <v>221</v>
      </c>
      <c r="D966" s="229" t="s">
        <v>25</v>
      </c>
      <c r="E966" s="229" t="s">
        <v>26</v>
      </c>
      <c r="F966" s="229" t="s">
        <v>75</v>
      </c>
      <c r="G966">
        <v>2</v>
      </c>
    </row>
    <row r="967" spans="1:7" hidden="1" x14ac:dyDescent="0.2">
      <c r="A967" t="str">
        <f t="shared" si="18"/>
        <v>JobConfiguração Projeto/MóduloASimplesComplexo</v>
      </c>
      <c r="B967" s="229" t="s">
        <v>232</v>
      </c>
      <c r="C967" s="229" t="s">
        <v>221</v>
      </c>
      <c r="D967" s="229" t="s">
        <v>25</v>
      </c>
      <c r="E967" s="229" t="s">
        <v>26</v>
      </c>
      <c r="F967" s="229" t="s">
        <v>76</v>
      </c>
      <c r="G967">
        <v>4</v>
      </c>
    </row>
    <row r="968" spans="1:7" hidden="1" x14ac:dyDescent="0.2">
      <c r="A968" t="str">
        <f t="shared" si="18"/>
        <v>JobConfiguração Projeto/MóduloAMédioSimples</v>
      </c>
      <c r="B968" s="229" t="s">
        <v>232</v>
      </c>
      <c r="C968" s="229" t="s">
        <v>221</v>
      </c>
      <c r="D968" s="229" t="s">
        <v>25</v>
      </c>
      <c r="E968" s="229" t="s">
        <v>75</v>
      </c>
      <c r="F968" s="229" t="s">
        <v>26</v>
      </c>
      <c r="G968">
        <v>2</v>
      </c>
    </row>
    <row r="969" spans="1:7" hidden="1" x14ac:dyDescent="0.2">
      <c r="A969" t="str">
        <f t="shared" si="18"/>
        <v>JobConfiguração Projeto/MóduloAMédioMédio</v>
      </c>
      <c r="B969" s="229" t="s">
        <v>232</v>
      </c>
      <c r="C969" s="229" t="s">
        <v>221</v>
      </c>
      <c r="D969" s="229" t="s">
        <v>25</v>
      </c>
      <c r="E969" s="229" t="s">
        <v>75</v>
      </c>
      <c r="F969" s="229" t="s">
        <v>75</v>
      </c>
      <c r="G969">
        <v>4</v>
      </c>
    </row>
    <row r="970" spans="1:7" hidden="1" x14ac:dyDescent="0.2">
      <c r="A970" t="str">
        <f t="shared" si="18"/>
        <v>JobConfiguração Projeto/MóduloAMédioComplexo</v>
      </c>
      <c r="B970" s="229" t="s">
        <v>232</v>
      </c>
      <c r="C970" s="229" t="s">
        <v>221</v>
      </c>
      <c r="D970" s="229" t="s">
        <v>25</v>
      </c>
      <c r="E970" s="229" t="s">
        <v>75</v>
      </c>
      <c r="F970" s="229" t="s">
        <v>76</v>
      </c>
      <c r="G970">
        <v>5</v>
      </c>
    </row>
    <row r="971" spans="1:7" hidden="1" x14ac:dyDescent="0.2">
      <c r="A971" t="str">
        <f t="shared" si="18"/>
        <v>JobConfiguração Projeto/MóduloAComplexoSimples</v>
      </c>
      <c r="B971" s="229" t="s">
        <v>232</v>
      </c>
      <c r="C971" s="229" t="s">
        <v>221</v>
      </c>
      <c r="D971" s="229" t="s">
        <v>25</v>
      </c>
      <c r="E971" s="229" t="s">
        <v>76</v>
      </c>
      <c r="F971" s="229" t="s">
        <v>26</v>
      </c>
      <c r="G971">
        <v>5</v>
      </c>
    </row>
    <row r="972" spans="1:7" hidden="1" x14ac:dyDescent="0.2">
      <c r="A972" t="str">
        <f t="shared" si="18"/>
        <v>JobConfiguração Projeto/MóduloAComplexoMédio</v>
      </c>
      <c r="B972" s="229" t="s">
        <v>232</v>
      </c>
      <c r="C972" s="229" t="s">
        <v>221</v>
      </c>
      <c r="D972" s="229" t="s">
        <v>25</v>
      </c>
      <c r="E972" s="229" t="s">
        <v>76</v>
      </c>
      <c r="F972" s="229" t="s">
        <v>75</v>
      </c>
      <c r="G972">
        <v>7</v>
      </c>
    </row>
    <row r="973" spans="1:7" hidden="1" x14ac:dyDescent="0.2">
      <c r="A973" t="str">
        <f t="shared" si="18"/>
        <v>JobConfiguração Projeto/MóduloAComplexoComplexo</v>
      </c>
      <c r="B973" s="229" t="s">
        <v>232</v>
      </c>
      <c r="C973" s="229" t="s">
        <v>221</v>
      </c>
      <c r="D973" s="229" t="s">
        <v>25</v>
      </c>
      <c r="E973" s="229" t="s">
        <v>76</v>
      </c>
      <c r="F973" s="229" t="s">
        <v>76</v>
      </c>
      <c r="G973">
        <v>8</v>
      </c>
    </row>
    <row r="974" spans="1:7" hidden="1" x14ac:dyDescent="0.2">
      <c r="A974" t="str">
        <f t="shared" si="18"/>
        <v>SCM MobileRegraDroolsNSimples</v>
      </c>
      <c r="B974" s="229" t="s">
        <v>233</v>
      </c>
      <c r="C974" s="229" t="s">
        <v>218</v>
      </c>
      <c r="D974" s="229" t="s">
        <v>24</v>
      </c>
      <c r="E974" s="229" t="s">
        <v>26</v>
      </c>
      <c r="F974" s="229"/>
      <c r="G974">
        <v>3</v>
      </c>
    </row>
    <row r="975" spans="1:7" hidden="1" x14ac:dyDescent="0.2">
      <c r="A975" t="str">
        <f t="shared" si="18"/>
        <v>SCM MobileRegraDroolsNMédio</v>
      </c>
      <c r="B975" s="229" t="s">
        <v>233</v>
      </c>
      <c r="C975" s="229" t="s">
        <v>218</v>
      </c>
      <c r="D975" s="229" t="s">
        <v>24</v>
      </c>
      <c r="E975" s="229" t="s">
        <v>75</v>
      </c>
      <c r="F975" s="229"/>
      <c r="G975">
        <v>5</v>
      </c>
    </row>
    <row r="976" spans="1:7" hidden="1" x14ac:dyDescent="0.2">
      <c r="A976" t="str">
        <f t="shared" si="18"/>
        <v>SCM MobileRegraDroolsNComplexo</v>
      </c>
      <c r="B976" s="229" t="s">
        <v>233</v>
      </c>
      <c r="C976" s="229" t="s">
        <v>218</v>
      </c>
      <c r="D976" s="229" t="s">
        <v>24</v>
      </c>
      <c r="E976" s="229" t="s">
        <v>76</v>
      </c>
      <c r="F976" s="229"/>
      <c r="G976">
        <v>9</v>
      </c>
    </row>
    <row r="977" spans="1:7" hidden="1" x14ac:dyDescent="0.2">
      <c r="A977" t="str">
        <f t="shared" si="18"/>
        <v>SCM MobileRegraDroolsASimplesSimples</v>
      </c>
      <c r="B977" s="229" t="s">
        <v>233</v>
      </c>
      <c r="C977" s="229" t="s">
        <v>218</v>
      </c>
      <c r="D977" s="229" t="s">
        <v>25</v>
      </c>
      <c r="E977" s="229" t="s">
        <v>26</v>
      </c>
      <c r="F977" s="229" t="s">
        <v>26</v>
      </c>
      <c r="G977">
        <v>2</v>
      </c>
    </row>
    <row r="978" spans="1:7" hidden="1" x14ac:dyDescent="0.2">
      <c r="A978" t="str">
        <f t="shared" si="18"/>
        <v>SCM MobileRegraDroolsASimplesMédio</v>
      </c>
      <c r="B978" s="229" t="s">
        <v>233</v>
      </c>
      <c r="C978" s="229" t="s">
        <v>218</v>
      </c>
      <c r="D978" s="229" t="s">
        <v>25</v>
      </c>
      <c r="E978" s="229" t="s">
        <v>26</v>
      </c>
      <c r="F978" s="229" t="s">
        <v>75</v>
      </c>
      <c r="G978">
        <v>4</v>
      </c>
    </row>
    <row r="979" spans="1:7" hidden="1" x14ac:dyDescent="0.2">
      <c r="A979" t="str">
        <f t="shared" si="18"/>
        <v>SCM MobileRegraDroolsASimplesComplexo</v>
      </c>
      <c r="B979" s="229" t="s">
        <v>233</v>
      </c>
      <c r="C979" s="229" t="s">
        <v>218</v>
      </c>
      <c r="D979" s="229" t="s">
        <v>25</v>
      </c>
      <c r="E979" s="229" t="s">
        <v>26</v>
      </c>
      <c r="F979" s="229" t="s">
        <v>76</v>
      </c>
      <c r="G979">
        <v>6</v>
      </c>
    </row>
    <row r="980" spans="1:7" hidden="1" x14ac:dyDescent="0.2">
      <c r="A980" t="str">
        <f t="shared" si="18"/>
        <v>SCM MobileRegraDroolsAMédioSimples</v>
      </c>
      <c r="B980" s="229" t="s">
        <v>233</v>
      </c>
      <c r="C980" s="229" t="s">
        <v>218</v>
      </c>
      <c r="D980" s="229" t="s">
        <v>25</v>
      </c>
      <c r="E980" s="229" t="s">
        <v>75</v>
      </c>
      <c r="F980" s="229" t="s">
        <v>26</v>
      </c>
      <c r="G980">
        <v>3</v>
      </c>
    </row>
    <row r="981" spans="1:7" hidden="1" x14ac:dyDescent="0.2">
      <c r="A981" t="str">
        <f t="shared" si="18"/>
        <v>SCM MobileRegraDroolsAMédioMédio</v>
      </c>
      <c r="B981" s="229" t="s">
        <v>233</v>
      </c>
      <c r="C981" s="229" t="s">
        <v>218</v>
      </c>
      <c r="D981" s="229" t="s">
        <v>25</v>
      </c>
      <c r="E981" s="229" t="s">
        <v>75</v>
      </c>
      <c r="F981" s="229" t="s">
        <v>75</v>
      </c>
      <c r="G981">
        <v>6</v>
      </c>
    </row>
    <row r="982" spans="1:7" hidden="1" x14ac:dyDescent="0.2">
      <c r="A982" t="str">
        <f t="shared" si="18"/>
        <v>SCM MobileRegraDroolsAMédioComplexo</v>
      </c>
      <c r="B982" s="229" t="s">
        <v>233</v>
      </c>
      <c r="C982" s="229" t="s">
        <v>218</v>
      </c>
      <c r="D982" s="229" t="s">
        <v>25</v>
      </c>
      <c r="E982" s="229" t="s">
        <v>75</v>
      </c>
      <c r="F982" s="229" t="s">
        <v>76</v>
      </c>
      <c r="G982">
        <v>8</v>
      </c>
    </row>
    <row r="983" spans="1:7" hidden="1" x14ac:dyDescent="0.2">
      <c r="A983" t="str">
        <f t="shared" si="18"/>
        <v>SCM MobileRegraDroolsAComplexoSimples</v>
      </c>
      <c r="B983" s="229" t="s">
        <v>233</v>
      </c>
      <c r="C983" s="229" t="s">
        <v>218</v>
      </c>
      <c r="D983" s="229" t="s">
        <v>25</v>
      </c>
      <c r="E983" s="229" t="s">
        <v>76</v>
      </c>
      <c r="F983" s="229" t="s">
        <v>26</v>
      </c>
      <c r="G983">
        <v>6</v>
      </c>
    </row>
    <row r="984" spans="1:7" hidden="1" x14ac:dyDescent="0.2">
      <c r="A984" t="str">
        <f t="shared" si="18"/>
        <v>SCM MobileRegraDroolsAComplexoMédio</v>
      </c>
      <c r="B984" s="229" t="s">
        <v>233</v>
      </c>
      <c r="C984" s="229" t="s">
        <v>218</v>
      </c>
      <c r="D984" s="229" t="s">
        <v>25</v>
      </c>
      <c r="E984" s="229" t="s">
        <v>76</v>
      </c>
      <c r="F984" s="229" t="s">
        <v>75</v>
      </c>
      <c r="G984">
        <v>8</v>
      </c>
    </row>
    <row r="985" spans="1:7" hidden="1" x14ac:dyDescent="0.2">
      <c r="A985" t="str">
        <f t="shared" si="18"/>
        <v>SCM MobileRegraDroolsAComplexoComplexo</v>
      </c>
      <c r="B985" s="229" t="s">
        <v>233</v>
      </c>
      <c r="C985" s="229" t="s">
        <v>218</v>
      </c>
      <c r="D985" s="229" t="s">
        <v>25</v>
      </c>
      <c r="E985" s="229" t="s">
        <v>76</v>
      </c>
      <c r="F985" s="229" t="s">
        <v>76</v>
      </c>
      <c r="G985">
        <v>12</v>
      </c>
    </row>
    <row r="986" spans="1:7" hidden="1" x14ac:dyDescent="0.2">
      <c r="A986" t="str">
        <f t="shared" si="18"/>
        <v>SCM MobileJUnitNSimples</v>
      </c>
      <c r="B986" s="229" t="s">
        <v>233</v>
      </c>
      <c r="C986" s="229" t="s">
        <v>219</v>
      </c>
      <c r="D986" s="229" t="s">
        <v>24</v>
      </c>
      <c r="E986" s="229" t="s">
        <v>26</v>
      </c>
      <c r="F986" s="229"/>
      <c r="G986">
        <v>3</v>
      </c>
    </row>
    <row r="987" spans="1:7" hidden="1" x14ac:dyDescent="0.2">
      <c r="A987" t="str">
        <f t="shared" si="18"/>
        <v>SCM MobileJUnitNMédio</v>
      </c>
      <c r="B987" s="229" t="s">
        <v>233</v>
      </c>
      <c r="C987" s="229" t="s">
        <v>219</v>
      </c>
      <c r="D987" s="229" t="s">
        <v>24</v>
      </c>
      <c r="E987" s="229" t="s">
        <v>75</v>
      </c>
      <c r="F987" s="229"/>
      <c r="G987">
        <v>5</v>
      </c>
    </row>
    <row r="988" spans="1:7" hidden="1" x14ac:dyDescent="0.2">
      <c r="A988" t="str">
        <f t="shared" si="18"/>
        <v>SCM MobileJUnitNComplexo</v>
      </c>
      <c r="B988" s="229" t="s">
        <v>233</v>
      </c>
      <c r="C988" s="229" t="s">
        <v>219</v>
      </c>
      <c r="D988" s="229" t="s">
        <v>24</v>
      </c>
      <c r="E988" s="229" t="s">
        <v>76</v>
      </c>
      <c r="F988" s="229"/>
      <c r="G988">
        <v>9</v>
      </c>
    </row>
    <row r="989" spans="1:7" hidden="1" x14ac:dyDescent="0.2">
      <c r="A989" t="str">
        <f t="shared" si="18"/>
        <v>SCM MobileJUnitASimplesSimples</v>
      </c>
      <c r="B989" s="229" t="s">
        <v>233</v>
      </c>
      <c r="C989" s="229" t="s">
        <v>219</v>
      </c>
      <c r="D989" s="229" t="s">
        <v>25</v>
      </c>
      <c r="E989" s="229" t="s">
        <v>26</v>
      </c>
      <c r="F989" s="229" t="s">
        <v>26</v>
      </c>
      <c r="G989">
        <v>2</v>
      </c>
    </row>
    <row r="990" spans="1:7" hidden="1" x14ac:dyDescent="0.2">
      <c r="A990" t="str">
        <f t="shared" si="18"/>
        <v>SCM MobileJUnitASimplesMédio</v>
      </c>
      <c r="B990" s="229" t="s">
        <v>233</v>
      </c>
      <c r="C990" s="229" t="s">
        <v>219</v>
      </c>
      <c r="D990" s="229" t="s">
        <v>25</v>
      </c>
      <c r="E990" s="229" t="s">
        <v>26</v>
      </c>
      <c r="F990" s="229" t="s">
        <v>75</v>
      </c>
      <c r="G990">
        <v>4</v>
      </c>
    </row>
    <row r="991" spans="1:7" hidden="1" x14ac:dyDescent="0.2">
      <c r="A991" t="str">
        <f t="shared" si="18"/>
        <v>SCM MobileJUnitASimplesComplexo</v>
      </c>
      <c r="B991" s="229" t="s">
        <v>233</v>
      </c>
      <c r="C991" s="229" t="s">
        <v>219</v>
      </c>
      <c r="D991" s="229" t="s">
        <v>25</v>
      </c>
      <c r="E991" s="229" t="s">
        <v>26</v>
      </c>
      <c r="F991" s="229" t="s">
        <v>76</v>
      </c>
      <c r="G991">
        <v>5</v>
      </c>
    </row>
    <row r="992" spans="1:7" hidden="1" x14ac:dyDescent="0.2">
      <c r="A992" t="str">
        <f t="shared" si="18"/>
        <v>SCM MobileJUnitAMédioSimples</v>
      </c>
      <c r="B992" s="229" t="s">
        <v>233</v>
      </c>
      <c r="C992" s="229" t="s">
        <v>219</v>
      </c>
      <c r="D992" s="229" t="s">
        <v>25</v>
      </c>
      <c r="E992" s="229" t="s">
        <v>75</v>
      </c>
      <c r="F992" s="229" t="s">
        <v>26</v>
      </c>
      <c r="G992">
        <v>3</v>
      </c>
    </row>
    <row r="993" spans="1:7" hidden="1" x14ac:dyDescent="0.2">
      <c r="A993" t="str">
        <f t="shared" si="18"/>
        <v>SCM MobileJUnitAMédioMédio</v>
      </c>
      <c r="B993" s="229" t="s">
        <v>233</v>
      </c>
      <c r="C993" s="229" t="s">
        <v>219</v>
      </c>
      <c r="D993" s="229" t="s">
        <v>25</v>
      </c>
      <c r="E993" s="229" t="s">
        <v>75</v>
      </c>
      <c r="F993" s="229" t="s">
        <v>75</v>
      </c>
      <c r="G993">
        <v>5</v>
      </c>
    </row>
    <row r="994" spans="1:7" hidden="1" x14ac:dyDescent="0.2">
      <c r="A994" t="str">
        <f t="shared" si="18"/>
        <v>SCM MobileJUnitAMédioComplexo</v>
      </c>
      <c r="B994" s="229" t="s">
        <v>233</v>
      </c>
      <c r="C994" s="229" t="s">
        <v>219</v>
      </c>
      <c r="D994" s="229" t="s">
        <v>25</v>
      </c>
      <c r="E994" s="229" t="s">
        <v>75</v>
      </c>
      <c r="F994" s="229" t="s">
        <v>76</v>
      </c>
      <c r="G994">
        <v>7</v>
      </c>
    </row>
    <row r="995" spans="1:7" hidden="1" x14ac:dyDescent="0.2">
      <c r="A995" t="str">
        <f t="shared" si="18"/>
        <v>SCM MobileJUnitAComplexoSimples</v>
      </c>
      <c r="B995" s="229" t="s">
        <v>233</v>
      </c>
      <c r="C995" s="229" t="s">
        <v>219</v>
      </c>
      <c r="D995" s="229" t="s">
        <v>25</v>
      </c>
      <c r="E995" s="229" t="s">
        <v>76</v>
      </c>
      <c r="F995" s="229" t="s">
        <v>26</v>
      </c>
      <c r="G995">
        <v>4</v>
      </c>
    </row>
    <row r="996" spans="1:7" hidden="1" x14ac:dyDescent="0.2">
      <c r="A996" t="str">
        <f t="shared" si="18"/>
        <v>SCM MobileJUnitAComplexoMédio</v>
      </c>
      <c r="B996" s="229" t="s">
        <v>233</v>
      </c>
      <c r="C996" s="229" t="s">
        <v>219</v>
      </c>
      <c r="D996" s="229" t="s">
        <v>25</v>
      </c>
      <c r="E996" s="229" t="s">
        <v>76</v>
      </c>
      <c r="F996" s="229" t="s">
        <v>75</v>
      </c>
      <c r="G996">
        <v>6</v>
      </c>
    </row>
    <row r="997" spans="1:7" hidden="1" x14ac:dyDescent="0.2">
      <c r="A997" t="str">
        <f t="shared" si="18"/>
        <v>SCM MobileJUnitAComplexoComplexo</v>
      </c>
      <c r="B997" s="229" t="s">
        <v>233</v>
      </c>
      <c r="C997" s="229" t="s">
        <v>219</v>
      </c>
      <c r="D997" s="229" t="s">
        <v>25</v>
      </c>
      <c r="E997" s="229" t="s">
        <v>76</v>
      </c>
      <c r="F997" s="229" t="s">
        <v>76</v>
      </c>
      <c r="G997">
        <v>8</v>
      </c>
    </row>
    <row r="998" spans="1:7" hidden="1" x14ac:dyDescent="0.2">
      <c r="A998" t="str">
        <f t="shared" si="18"/>
        <v>SCM MobileBanco de Dados (DML, DDL)NSimples</v>
      </c>
      <c r="B998" s="229" t="s">
        <v>233</v>
      </c>
      <c r="C998" s="229" t="s">
        <v>220</v>
      </c>
      <c r="D998" s="229" t="s">
        <v>24</v>
      </c>
      <c r="E998" s="229" t="s">
        <v>26</v>
      </c>
      <c r="F998" s="229"/>
      <c r="G998">
        <v>1</v>
      </c>
    </row>
    <row r="999" spans="1:7" hidden="1" x14ac:dyDescent="0.2">
      <c r="A999" t="str">
        <f t="shared" si="18"/>
        <v>SCM MobileBanco de Dados (DML, DDL)NMédio</v>
      </c>
      <c r="B999" s="229" t="s">
        <v>233</v>
      </c>
      <c r="C999" s="229" t="s">
        <v>220</v>
      </c>
      <c r="D999" s="229" t="s">
        <v>24</v>
      </c>
      <c r="E999" s="229" t="s">
        <v>75</v>
      </c>
      <c r="F999" s="229"/>
      <c r="G999">
        <v>3</v>
      </c>
    </row>
    <row r="1000" spans="1:7" hidden="1" x14ac:dyDescent="0.2">
      <c r="A1000" t="str">
        <f t="shared" si="18"/>
        <v>SCM MobileBanco de Dados (DML, DDL)NComplexo</v>
      </c>
      <c r="B1000" s="229" t="s">
        <v>233</v>
      </c>
      <c r="C1000" s="229" t="s">
        <v>220</v>
      </c>
      <c r="D1000" s="229" t="s">
        <v>24</v>
      </c>
      <c r="E1000" s="229" t="s">
        <v>76</v>
      </c>
      <c r="F1000" s="229"/>
      <c r="G1000">
        <v>5</v>
      </c>
    </row>
    <row r="1001" spans="1:7" hidden="1" x14ac:dyDescent="0.2">
      <c r="A1001" t="str">
        <f t="shared" si="18"/>
        <v>SCM MobileBanco de Dados (DML, DDL)ASimplesSimples</v>
      </c>
      <c r="B1001" s="229" t="s">
        <v>233</v>
      </c>
      <c r="C1001" s="229" t="s">
        <v>220</v>
      </c>
      <c r="D1001" s="229" t="s">
        <v>25</v>
      </c>
      <c r="E1001" s="229" t="s">
        <v>26</v>
      </c>
      <c r="F1001" s="229" t="s">
        <v>26</v>
      </c>
      <c r="G1001">
        <v>1</v>
      </c>
    </row>
    <row r="1002" spans="1:7" hidden="1" x14ac:dyDescent="0.2">
      <c r="A1002" t="str">
        <f t="shared" si="18"/>
        <v>SCM MobileBanco de Dados (DML, DDL)ASimplesMédio</v>
      </c>
      <c r="B1002" s="229" t="s">
        <v>233</v>
      </c>
      <c r="C1002" s="229" t="s">
        <v>220</v>
      </c>
      <c r="D1002" s="229" t="s">
        <v>25</v>
      </c>
      <c r="E1002" s="229" t="s">
        <v>26</v>
      </c>
      <c r="F1002" s="229" t="s">
        <v>75</v>
      </c>
      <c r="G1002">
        <v>3</v>
      </c>
    </row>
    <row r="1003" spans="1:7" hidden="1" x14ac:dyDescent="0.2">
      <c r="A1003" t="str">
        <f t="shared" si="18"/>
        <v>SCM MobileBanco de Dados (DML, DDL)ASimplesComplexo</v>
      </c>
      <c r="B1003" s="229" t="s">
        <v>233</v>
      </c>
      <c r="C1003" s="229" t="s">
        <v>220</v>
      </c>
      <c r="D1003" s="229" t="s">
        <v>25</v>
      </c>
      <c r="E1003" s="229" t="s">
        <v>26</v>
      </c>
      <c r="F1003" s="229" t="s">
        <v>76</v>
      </c>
      <c r="G1003">
        <v>5</v>
      </c>
    </row>
    <row r="1004" spans="1:7" hidden="1" x14ac:dyDescent="0.2">
      <c r="A1004" t="str">
        <f t="shared" si="18"/>
        <v>SCM MobileBanco de Dados (DML, DDL)AMédioSimples</v>
      </c>
      <c r="B1004" s="229" t="s">
        <v>233</v>
      </c>
      <c r="C1004" s="229" t="s">
        <v>220</v>
      </c>
      <c r="D1004" s="229" t="s">
        <v>25</v>
      </c>
      <c r="E1004" s="229" t="s">
        <v>75</v>
      </c>
      <c r="F1004" s="229" t="s">
        <v>26</v>
      </c>
      <c r="G1004">
        <v>3</v>
      </c>
    </row>
    <row r="1005" spans="1:7" hidden="1" x14ac:dyDescent="0.2">
      <c r="A1005" t="str">
        <f t="shared" si="18"/>
        <v>SCM MobileBanco de Dados (DML, DDL)AMédioMédio</v>
      </c>
      <c r="B1005" s="229" t="s">
        <v>233</v>
      </c>
      <c r="C1005" s="229" t="s">
        <v>220</v>
      </c>
      <c r="D1005" s="229" t="s">
        <v>25</v>
      </c>
      <c r="E1005" s="229" t="s">
        <v>75</v>
      </c>
      <c r="F1005" s="229" t="s">
        <v>75</v>
      </c>
      <c r="G1005">
        <v>6</v>
      </c>
    </row>
    <row r="1006" spans="1:7" hidden="1" x14ac:dyDescent="0.2">
      <c r="A1006" t="str">
        <f t="shared" si="18"/>
        <v>SCM MobileBanco de Dados (DML, DDL)AMédioComplexo</v>
      </c>
      <c r="B1006" s="229" t="s">
        <v>233</v>
      </c>
      <c r="C1006" s="229" t="s">
        <v>220</v>
      </c>
      <c r="D1006" s="229" t="s">
        <v>25</v>
      </c>
      <c r="E1006" s="229" t="s">
        <v>75</v>
      </c>
      <c r="F1006" s="229" t="s">
        <v>76</v>
      </c>
      <c r="G1006">
        <v>8</v>
      </c>
    </row>
    <row r="1007" spans="1:7" hidden="1" x14ac:dyDescent="0.2">
      <c r="A1007" t="str">
        <f t="shared" si="18"/>
        <v>SCM MobileBanco de Dados (DML, DDL)AComplexoSimples</v>
      </c>
      <c r="B1007" s="229" t="s">
        <v>233</v>
      </c>
      <c r="C1007" s="229" t="s">
        <v>220</v>
      </c>
      <c r="D1007" s="229" t="s">
        <v>25</v>
      </c>
      <c r="E1007" s="229" t="s">
        <v>76</v>
      </c>
      <c r="F1007" s="229" t="s">
        <v>26</v>
      </c>
      <c r="G1007">
        <v>5</v>
      </c>
    </row>
    <row r="1008" spans="1:7" hidden="1" x14ac:dyDescent="0.2">
      <c r="A1008" t="str">
        <f t="shared" si="18"/>
        <v>SCM MobileBanco de Dados (DML, DDL)AComplexoMédio</v>
      </c>
      <c r="B1008" s="229" t="s">
        <v>233</v>
      </c>
      <c r="C1008" s="229" t="s">
        <v>220</v>
      </c>
      <c r="D1008" s="229" t="s">
        <v>25</v>
      </c>
      <c r="E1008" s="229" t="s">
        <v>76</v>
      </c>
      <c r="F1008" s="229" t="s">
        <v>75</v>
      </c>
      <c r="G1008">
        <v>8</v>
      </c>
    </row>
    <row r="1009" spans="1:7" hidden="1" x14ac:dyDescent="0.2">
      <c r="A1009" t="str">
        <f t="shared" si="18"/>
        <v>SCM MobileBanco de Dados (DML, DDL)AComplexoComplexo</v>
      </c>
      <c r="B1009" s="229" t="s">
        <v>233</v>
      </c>
      <c r="C1009" s="229" t="s">
        <v>220</v>
      </c>
      <c r="D1009" s="229" t="s">
        <v>25</v>
      </c>
      <c r="E1009" s="229" t="s">
        <v>76</v>
      </c>
      <c r="F1009" s="229" t="s">
        <v>76</v>
      </c>
      <c r="G1009">
        <v>10</v>
      </c>
    </row>
    <row r="1010" spans="1:7" hidden="1" x14ac:dyDescent="0.2">
      <c r="A1010" t="str">
        <f t="shared" si="18"/>
        <v>SCM MobileBanco de Dados (PL/SQL)NSimples</v>
      </c>
      <c r="B1010" s="229" t="s">
        <v>233</v>
      </c>
      <c r="C1010" s="229" t="s">
        <v>203</v>
      </c>
      <c r="D1010" s="229" t="s">
        <v>24</v>
      </c>
      <c r="E1010" s="229" t="s">
        <v>26</v>
      </c>
      <c r="F1010" s="229"/>
      <c r="G1010">
        <v>4</v>
      </c>
    </row>
    <row r="1011" spans="1:7" hidden="1" x14ac:dyDescent="0.2">
      <c r="A1011" t="str">
        <f t="shared" si="18"/>
        <v>SCM MobileBanco de Dados (PL/SQL)NMédio</v>
      </c>
      <c r="B1011" s="229" t="s">
        <v>233</v>
      </c>
      <c r="C1011" s="229" t="s">
        <v>203</v>
      </c>
      <c r="D1011" s="229" t="s">
        <v>24</v>
      </c>
      <c r="E1011" s="229" t="s">
        <v>75</v>
      </c>
      <c r="F1011" s="229"/>
      <c r="G1011">
        <v>8</v>
      </c>
    </row>
    <row r="1012" spans="1:7" hidden="1" x14ac:dyDescent="0.2">
      <c r="A1012" t="str">
        <f t="shared" si="18"/>
        <v>SCM MobileBanco de Dados (PL/SQL)NComplexo</v>
      </c>
      <c r="B1012" s="229" t="s">
        <v>233</v>
      </c>
      <c r="C1012" s="229" t="s">
        <v>203</v>
      </c>
      <c r="D1012" s="229" t="s">
        <v>24</v>
      </c>
      <c r="E1012" s="229" t="s">
        <v>76</v>
      </c>
      <c r="F1012" s="229"/>
      <c r="G1012">
        <v>12</v>
      </c>
    </row>
    <row r="1013" spans="1:7" hidden="1" x14ac:dyDescent="0.2">
      <c r="A1013" t="str">
        <f t="shared" si="18"/>
        <v>SCM MobileBanco de Dados (PL/SQL)ASimplesSimples</v>
      </c>
      <c r="B1013" s="229" t="s">
        <v>233</v>
      </c>
      <c r="C1013" s="229" t="s">
        <v>203</v>
      </c>
      <c r="D1013" s="229" t="s">
        <v>25</v>
      </c>
      <c r="E1013" s="229" t="s">
        <v>26</v>
      </c>
      <c r="F1013" s="229" t="s">
        <v>26</v>
      </c>
      <c r="G1013">
        <v>2</v>
      </c>
    </row>
    <row r="1014" spans="1:7" hidden="1" x14ac:dyDescent="0.2">
      <c r="A1014" t="str">
        <f t="shared" si="18"/>
        <v>SCM MobileBanco de Dados (PL/SQL)ASimplesMédio</v>
      </c>
      <c r="B1014" s="229" t="s">
        <v>233</v>
      </c>
      <c r="C1014" s="229" t="s">
        <v>203</v>
      </c>
      <c r="D1014" s="229" t="s">
        <v>25</v>
      </c>
      <c r="E1014" s="229" t="s">
        <v>26</v>
      </c>
      <c r="F1014" s="229" t="s">
        <v>75</v>
      </c>
      <c r="G1014">
        <v>4</v>
      </c>
    </row>
    <row r="1015" spans="1:7" hidden="1" x14ac:dyDescent="0.2">
      <c r="A1015" t="str">
        <f t="shared" si="18"/>
        <v>SCM MobileBanco de Dados (PL/SQL)ASimplesComplexo</v>
      </c>
      <c r="B1015" s="229" t="s">
        <v>233</v>
      </c>
      <c r="C1015" s="229" t="s">
        <v>203</v>
      </c>
      <c r="D1015" s="229" t="s">
        <v>25</v>
      </c>
      <c r="E1015" s="229" t="s">
        <v>26</v>
      </c>
      <c r="F1015" s="229" t="s">
        <v>76</v>
      </c>
      <c r="G1015">
        <v>6</v>
      </c>
    </row>
    <row r="1016" spans="1:7" hidden="1" x14ac:dyDescent="0.2">
      <c r="A1016" t="str">
        <f t="shared" si="18"/>
        <v>SCM MobileBanco de Dados (PL/SQL)AMédioSimples</v>
      </c>
      <c r="B1016" s="229" t="s">
        <v>233</v>
      </c>
      <c r="C1016" s="229" t="s">
        <v>203</v>
      </c>
      <c r="D1016" s="229" t="s">
        <v>25</v>
      </c>
      <c r="E1016" s="229" t="s">
        <v>75</v>
      </c>
      <c r="F1016" s="229" t="s">
        <v>26</v>
      </c>
      <c r="G1016">
        <v>4</v>
      </c>
    </row>
    <row r="1017" spans="1:7" hidden="1" x14ac:dyDescent="0.2">
      <c r="A1017" t="str">
        <f t="shared" si="18"/>
        <v>SCM MobileBanco de Dados (PL/SQL)AMédioMédio</v>
      </c>
      <c r="B1017" s="229" t="s">
        <v>233</v>
      </c>
      <c r="C1017" s="229" t="s">
        <v>203</v>
      </c>
      <c r="D1017" s="229" t="s">
        <v>25</v>
      </c>
      <c r="E1017" s="229" t="s">
        <v>75</v>
      </c>
      <c r="F1017" s="229" t="s">
        <v>75</v>
      </c>
      <c r="G1017">
        <v>6</v>
      </c>
    </row>
    <row r="1018" spans="1:7" hidden="1" x14ac:dyDescent="0.2">
      <c r="A1018" t="str">
        <f t="shared" si="18"/>
        <v>SCM MobileBanco de Dados (PL/SQL)AMédioComplexo</v>
      </c>
      <c r="B1018" s="229" t="s">
        <v>233</v>
      </c>
      <c r="C1018" s="229" t="s">
        <v>203</v>
      </c>
      <c r="D1018" s="229" t="s">
        <v>25</v>
      </c>
      <c r="E1018" s="229" t="s">
        <v>75</v>
      </c>
      <c r="F1018" s="229" t="s">
        <v>76</v>
      </c>
      <c r="G1018">
        <v>9</v>
      </c>
    </row>
    <row r="1019" spans="1:7" hidden="1" x14ac:dyDescent="0.2">
      <c r="A1019" t="str">
        <f t="shared" si="18"/>
        <v>SCM MobileBanco de Dados (PL/SQL)AComplexoSimples</v>
      </c>
      <c r="B1019" s="229" t="s">
        <v>233</v>
      </c>
      <c r="C1019" s="229" t="s">
        <v>203</v>
      </c>
      <c r="D1019" s="229" t="s">
        <v>25</v>
      </c>
      <c r="E1019" s="229" t="s">
        <v>76</v>
      </c>
      <c r="F1019" s="229" t="s">
        <v>26</v>
      </c>
      <c r="G1019">
        <v>7</v>
      </c>
    </row>
    <row r="1020" spans="1:7" hidden="1" x14ac:dyDescent="0.2">
      <c r="A1020" t="str">
        <f t="shared" si="18"/>
        <v>SCM MobileBanco de Dados (PL/SQL)AComplexoMédio</v>
      </c>
      <c r="B1020" s="229" t="s">
        <v>233</v>
      </c>
      <c r="C1020" s="229" t="s">
        <v>203</v>
      </c>
      <c r="D1020" s="229" t="s">
        <v>25</v>
      </c>
      <c r="E1020" s="229" t="s">
        <v>76</v>
      </c>
      <c r="F1020" s="229" t="s">
        <v>75</v>
      </c>
      <c r="G1020">
        <v>9</v>
      </c>
    </row>
    <row r="1021" spans="1:7" hidden="1" x14ac:dyDescent="0.2">
      <c r="A1021" t="str">
        <f t="shared" si="18"/>
        <v>SCM MobileBanco de Dados (PL/SQL)AComplexoComplexo</v>
      </c>
      <c r="B1021" s="229" t="s">
        <v>233</v>
      </c>
      <c r="C1021" s="229" t="s">
        <v>203</v>
      </c>
      <c r="D1021" s="229" t="s">
        <v>25</v>
      </c>
      <c r="E1021" s="229" t="s">
        <v>76</v>
      </c>
      <c r="F1021" s="229" t="s">
        <v>76</v>
      </c>
      <c r="G1021">
        <v>12</v>
      </c>
    </row>
    <row r="1022" spans="1:7" hidden="1" x14ac:dyDescent="0.2">
      <c r="A1022" t="str">
        <f t="shared" si="18"/>
        <v>SCM MobileJAVA: Interface WebServiceNSimples</v>
      </c>
      <c r="B1022" s="229" t="s">
        <v>233</v>
      </c>
      <c r="C1022" s="229" t="s">
        <v>204</v>
      </c>
      <c r="D1022" s="229" t="s">
        <v>24</v>
      </c>
      <c r="E1022" s="229" t="s">
        <v>26</v>
      </c>
      <c r="F1022" s="229"/>
      <c r="G1022">
        <v>3</v>
      </c>
    </row>
    <row r="1023" spans="1:7" hidden="1" x14ac:dyDescent="0.2">
      <c r="A1023" t="str">
        <f t="shared" si="18"/>
        <v>SCM MobileJAVA: Interface WebServiceNMédio</v>
      </c>
      <c r="B1023" s="229" t="s">
        <v>233</v>
      </c>
      <c r="C1023" s="229" t="s">
        <v>204</v>
      </c>
      <c r="D1023" s="229" t="s">
        <v>24</v>
      </c>
      <c r="E1023" s="229" t="s">
        <v>75</v>
      </c>
      <c r="F1023" s="229"/>
      <c r="G1023">
        <v>5</v>
      </c>
    </row>
    <row r="1024" spans="1:7" hidden="1" x14ac:dyDescent="0.2">
      <c r="A1024" t="str">
        <f t="shared" si="18"/>
        <v>SCM MobileJAVA: Interface WebServiceNComplexo</v>
      </c>
      <c r="B1024" s="229" t="s">
        <v>233</v>
      </c>
      <c r="C1024" s="229" t="s">
        <v>204</v>
      </c>
      <c r="D1024" s="229" t="s">
        <v>24</v>
      </c>
      <c r="E1024" s="229" t="s">
        <v>76</v>
      </c>
      <c r="F1024" s="229"/>
      <c r="G1024">
        <v>8</v>
      </c>
    </row>
    <row r="1025" spans="1:7" hidden="1" x14ac:dyDescent="0.2">
      <c r="A1025" t="str">
        <f t="shared" si="18"/>
        <v>SCM MobileJAVA: Interface WebServiceASimplesSimples</v>
      </c>
      <c r="B1025" s="229" t="s">
        <v>233</v>
      </c>
      <c r="C1025" s="229" t="s">
        <v>204</v>
      </c>
      <c r="D1025" s="229" t="s">
        <v>25</v>
      </c>
      <c r="E1025" s="229" t="s">
        <v>26</v>
      </c>
      <c r="F1025" s="229" t="s">
        <v>26</v>
      </c>
      <c r="G1025">
        <v>2</v>
      </c>
    </row>
    <row r="1026" spans="1:7" hidden="1" x14ac:dyDescent="0.2">
      <c r="A1026" t="str">
        <f t="shared" ref="A1026:A1081" si="19">B1026&amp;C1026&amp;D1026&amp;E1026&amp;F1026</f>
        <v>SCM MobileJAVA: Interface WebServiceASimplesMédio</v>
      </c>
      <c r="B1026" s="229" t="s">
        <v>233</v>
      </c>
      <c r="C1026" s="229" t="s">
        <v>204</v>
      </c>
      <c r="D1026" s="229" t="s">
        <v>25</v>
      </c>
      <c r="E1026" s="229" t="s">
        <v>26</v>
      </c>
      <c r="F1026" s="229" t="s">
        <v>75</v>
      </c>
      <c r="G1026">
        <v>3</v>
      </c>
    </row>
    <row r="1027" spans="1:7" hidden="1" x14ac:dyDescent="0.2">
      <c r="A1027" t="str">
        <f t="shared" si="19"/>
        <v>SCM MobileJAVA: Interface WebServiceASimplesComplexo</v>
      </c>
      <c r="B1027" s="229" t="s">
        <v>233</v>
      </c>
      <c r="C1027" s="229" t="s">
        <v>204</v>
      </c>
      <c r="D1027" s="229" t="s">
        <v>25</v>
      </c>
      <c r="E1027" s="229" t="s">
        <v>26</v>
      </c>
      <c r="F1027" s="229" t="s">
        <v>76</v>
      </c>
      <c r="G1027">
        <v>4</v>
      </c>
    </row>
    <row r="1028" spans="1:7" hidden="1" x14ac:dyDescent="0.2">
      <c r="A1028" t="str">
        <f t="shared" si="19"/>
        <v>SCM MobileJAVA: Interface WebServiceAMédioSimples</v>
      </c>
      <c r="B1028" s="229" t="s">
        <v>233</v>
      </c>
      <c r="C1028" s="229" t="s">
        <v>204</v>
      </c>
      <c r="D1028" s="229" t="s">
        <v>25</v>
      </c>
      <c r="E1028" s="229" t="s">
        <v>75</v>
      </c>
      <c r="F1028" s="229" t="s">
        <v>26</v>
      </c>
      <c r="G1028">
        <v>2</v>
      </c>
    </row>
    <row r="1029" spans="1:7" hidden="1" x14ac:dyDescent="0.2">
      <c r="A1029" t="str">
        <f t="shared" si="19"/>
        <v>SCM MobileJAVA: Interface WebServiceAMédioMédio</v>
      </c>
      <c r="B1029" s="229" t="s">
        <v>233</v>
      </c>
      <c r="C1029" s="229" t="s">
        <v>204</v>
      </c>
      <c r="D1029" s="229" t="s">
        <v>25</v>
      </c>
      <c r="E1029" s="229" t="s">
        <v>75</v>
      </c>
      <c r="F1029" s="229" t="s">
        <v>75</v>
      </c>
      <c r="G1029">
        <v>5</v>
      </c>
    </row>
    <row r="1030" spans="1:7" hidden="1" x14ac:dyDescent="0.2">
      <c r="A1030" t="str">
        <f t="shared" si="19"/>
        <v>SCM MobileJAVA: Interface WebServiceAMédioComplexo</v>
      </c>
      <c r="B1030" s="229" t="s">
        <v>233</v>
      </c>
      <c r="C1030" s="229" t="s">
        <v>204</v>
      </c>
      <c r="D1030" s="229" t="s">
        <v>25</v>
      </c>
      <c r="E1030" s="229" t="s">
        <v>75</v>
      </c>
      <c r="F1030" s="229" t="s">
        <v>76</v>
      </c>
      <c r="G1030">
        <v>8</v>
      </c>
    </row>
    <row r="1031" spans="1:7" hidden="1" x14ac:dyDescent="0.2">
      <c r="A1031" t="str">
        <f t="shared" si="19"/>
        <v>SCM MobileJAVA: Interface WebServiceAComplexoSimples</v>
      </c>
      <c r="B1031" s="229" t="s">
        <v>233</v>
      </c>
      <c r="C1031" s="229" t="s">
        <v>204</v>
      </c>
      <c r="D1031" s="229" t="s">
        <v>25</v>
      </c>
      <c r="E1031" s="229" t="s">
        <v>76</v>
      </c>
      <c r="F1031" s="229" t="s">
        <v>26</v>
      </c>
      <c r="G1031">
        <v>5</v>
      </c>
    </row>
    <row r="1032" spans="1:7" hidden="1" x14ac:dyDescent="0.2">
      <c r="A1032" t="str">
        <f t="shared" si="19"/>
        <v>SCM MobileJAVA: Interface WebServiceAComplexoMédio</v>
      </c>
      <c r="B1032" s="229" t="s">
        <v>233</v>
      </c>
      <c r="C1032" s="229" t="s">
        <v>204</v>
      </c>
      <c r="D1032" s="229" t="s">
        <v>25</v>
      </c>
      <c r="E1032" s="229" t="s">
        <v>76</v>
      </c>
      <c r="F1032" s="229" t="s">
        <v>75</v>
      </c>
      <c r="G1032">
        <v>7</v>
      </c>
    </row>
    <row r="1033" spans="1:7" hidden="1" x14ac:dyDescent="0.2">
      <c r="A1033" t="str">
        <f t="shared" si="19"/>
        <v>SCM MobileJAVA: Interface WebServiceAComplexoComplexo</v>
      </c>
      <c r="B1033" s="229" t="s">
        <v>233</v>
      </c>
      <c r="C1033" s="229" t="s">
        <v>204</v>
      </c>
      <c r="D1033" s="229" t="s">
        <v>25</v>
      </c>
      <c r="E1033" s="229" t="s">
        <v>76</v>
      </c>
      <c r="F1033" s="229" t="s">
        <v>76</v>
      </c>
      <c r="G1033">
        <v>9</v>
      </c>
    </row>
    <row r="1034" spans="1:7" hidden="1" x14ac:dyDescent="0.2">
      <c r="A1034" t="str">
        <f t="shared" si="19"/>
        <v>SCM MobileJAVA: Transformação de ObjetosNSimples</v>
      </c>
      <c r="B1034" s="229" t="s">
        <v>233</v>
      </c>
      <c r="C1034" s="229" t="s">
        <v>205</v>
      </c>
      <c r="D1034" s="229" t="s">
        <v>24</v>
      </c>
      <c r="E1034" s="229" t="s">
        <v>26</v>
      </c>
      <c r="F1034" s="229"/>
      <c r="G1034">
        <v>1</v>
      </c>
    </row>
    <row r="1035" spans="1:7" hidden="1" x14ac:dyDescent="0.2">
      <c r="A1035" t="str">
        <f t="shared" si="19"/>
        <v>SCM MobileJAVA: Transformação de ObjetosNMédio</v>
      </c>
      <c r="B1035" s="229" t="s">
        <v>233</v>
      </c>
      <c r="C1035" s="229" t="s">
        <v>205</v>
      </c>
      <c r="D1035" s="229" t="s">
        <v>24</v>
      </c>
      <c r="E1035" s="229" t="s">
        <v>75</v>
      </c>
      <c r="F1035" s="229"/>
      <c r="G1035">
        <v>3</v>
      </c>
    </row>
    <row r="1036" spans="1:7" hidden="1" x14ac:dyDescent="0.2">
      <c r="A1036" t="str">
        <f t="shared" si="19"/>
        <v>SCM MobileJAVA: Transformação de ObjetosNComplexo</v>
      </c>
      <c r="B1036" s="229" t="s">
        <v>233</v>
      </c>
      <c r="C1036" s="229" t="s">
        <v>205</v>
      </c>
      <c r="D1036" s="229" t="s">
        <v>24</v>
      </c>
      <c r="E1036" s="229" t="s">
        <v>76</v>
      </c>
      <c r="F1036" s="229"/>
      <c r="G1036">
        <v>5</v>
      </c>
    </row>
    <row r="1037" spans="1:7" hidden="1" x14ac:dyDescent="0.2">
      <c r="A1037" t="str">
        <f t="shared" si="19"/>
        <v>SCM MobileJAVA: Transformação de ObjetosASimplesSimples</v>
      </c>
      <c r="B1037" s="229" t="s">
        <v>233</v>
      </c>
      <c r="C1037" s="229" t="s">
        <v>205</v>
      </c>
      <c r="D1037" s="229" t="s">
        <v>25</v>
      </c>
      <c r="E1037" s="229" t="s">
        <v>26</v>
      </c>
      <c r="F1037" s="229" t="s">
        <v>26</v>
      </c>
      <c r="G1037">
        <v>1</v>
      </c>
    </row>
    <row r="1038" spans="1:7" hidden="1" x14ac:dyDescent="0.2">
      <c r="A1038" t="str">
        <f t="shared" si="19"/>
        <v>SCM MobileJAVA: Transformação de ObjetosASimplesMédio</v>
      </c>
      <c r="B1038" s="229" t="s">
        <v>233</v>
      </c>
      <c r="C1038" s="229" t="s">
        <v>205</v>
      </c>
      <c r="D1038" s="229" t="s">
        <v>25</v>
      </c>
      <c r="E1038" s="229" t="s">
        <v>26</v>
      </c>
      <c r="F1038" s="229" t="s">
        <v>75</v>
      </c>
      <c r="G1038">
        <v>2</v>
      </c>
    </row>
    <row r="1039" spans="1:7" hidden="1" x14ac:dyDescent="0.2">
      <c r="A1039" t="str">
        <f t="shared" si="19"/>
        <v>SCM MobileJAVA: Transformação de ObjetosASimplesComplexo</v>
      </c>
      <c r="B1039" s="229" t="s">
        <v>233</v>
      </c>
      <c r="C1039" s="229" t="s">
        <v>205</v>
      </c>
      <c r="D1039" s="229" t="s">
        <v>25</v>
      </c>
      <c r="E1039" s="229" t="s">
        <v>26</v>
      </c>
      <c r="F1039" s="229" t="s">
        <v>76</v>
      </c>
      <c r="G1039">
        <v>4</v>
      </c>
    </row>
    <row r="1040" spans="1:7" hidden="1" x14ac:dyDescent="0.2">
      <c r="A1040" t="str">
        <f t="shared" si="19"/>
        <v>SCM MobileJAVA: Transformação de ObjetosAMédioSimples</v>
      </c>
      <c r="B1040" s="229" t="s">
        <v>233</v>
      </c>
      <c r="C1040" s="229" t="s">
        <v>205</v>
      </c>
      <c r="D1040" s="229" t="s">
        <v>25</v>
      </c>
      <c r="E1040" s="229" t="s">
        <v>75</v>
      </c>
      <c r="F1040" s="229" t="s">
        <v>26</v>
      </c>
      <c r="G1040">
        <v>3</v>
      </c>
    </row>
    <row r="1041" spans="1:7" hidden="1" x14ac:dyDescent="0.2">
      <c r="A1041" t="str">
        <f t="shared" si="19"/>
        <v>SCM MobileJAVA: Transformação de ObjetosAMédioMédio</v>
      </c>
      <c r="B1041" s="229" t="s">
        <v>233</v>
      </c>
      <c r="C1041" s="229" t="s">
        <v>205</v>
      </c>
      <c r="D1041" s="229" t="s">
        <v>25</v>
      </c>
      <c r="E1041" s="229" t="s">
        <v>75</v>
      </c>
      <c r="F1041" s="229" t="s">
        <v>75</v>
      </c>
      <c r="G1041">
        <v>5</v>
      </c>
    </row>
    <row r="1042" spans="1:7" hidden="1" x14ac:dyDescent="0.2">
      <c r="A1042" t="str">
        <f t="shared" si="19"/>
        <v>SCM MobileJAVA: Transformação de ObjetosAMédioComplexo</v>
      </c>
      <c r="B1042" s="229" t="s">
        <v>233</v>
      </c>
      <c r="C1042" s="229" t="s">
        <v>205</v>
      </c>
      <c r="D1042" s="229" t="s">
        <v>25</v>
      </c>
      <c r="E1042" s="229" t="s">
        <v>75</v>
      </c>
      <c r="F1042" s="229" t="s">
        <v>76</v>
      </c>
      <c r="G1042">
        <v>6</v>
      </c>
    </row>
    <row r="1043" spans="1:7" hidden="1" x14ac:dyDescent="0.2">
      <c r="A1043" t="str">
        <f t="shared" si="19"/>
        <v>SCM MobileJAVA: Transformação de ObjetosAComplexoSimples</v>
      </c>
      <c r="B1043" s="229" t="s">
        <v>233</v>
      </c>
      <c r="C1043" s="229" t="s">
        <v>205</v>
      </c>
      <c r="D1043" s="229" t="s">
        <v>25</v>
      </c>
      <c r="E1043" s="229" t="s">
        <v>76</v>
      </c>
      <c r="F1043" s="229" t="s">
        <v>26</v>
      </c>
      <c r="G1043">
        <v>4</v>
      </c>
    </row>
    <row r="1044" spans="1:7" hidden="1" x14ac:dyDescent="0.2">
      <c r="A1044" t="str">
        <f t="shared" si="19"/>
        <v>SCM MobileJAVA: Transformação de ObjetosAComplexoMédio</v>
      </c>
      <c r="B1044" s="229" t="s">
        <v>233</v>
      </c>
      <c r="C1044" s="229" t="s">
        <v>205</v>
      </c>
      <c r="D1044" s="229" t="s">
        <v>25</v>
      </c>
      <c r="E1044" s="229" t="s">
        <v>76</v>
      </c>
      <c r="F1044" s="229" t="s">
        <v>75</v>
      </c>
      <c r="G1044">
        <v>6</v>
      </c>
    </row>
    <row r="1045" spans="1:7" hidden="1" x14ac:dyDescent="0.2">
      <c r="A1045" t="str">
        <f t="shared" si="19"/>
        <v>SCM MobileJAVA: Transformação de ObjetosAComplexoComplexo</v>
      </c>
      <c r="B1045" s="229" t="s">
        <v>233</v>
      </c>
      <c r="C1045" s="229" t="s">
        <v>205</v>
      </c>
      <c r="D1045" s="229" t="s">
        <v>25</v>
      </c>
      <c r="E1045" s="229" t="s">
        <v>76</v>
      </c>
      <c r="F1045" s="229" t="s">
        <v>76</v>
      </c>
      <c r="G1045">
        <v>8</v>
      </c>
    </row>
    <row r="1046" spans="1:7" hidden="1" x14ac:dyDescent="0.2">
      <c r="A1046" t="str">
        <f t="shared" si="19"/>
        <v>SCM MobileJAVA: Métodos de Negócio (Controller)NSimples</v>
      </c>
      <c r="B1046" s="229" t="s">
        <v>233</v>
      </c>
      <c r="C1046" s="229" t="s">
        <v>206</v>
      </c>
      <c r="D1046" s="229" t="s">
        <v>24</v>
      </c>
      <c r="E1046" s="229" t="s">
        <v>26</v>
      </c>
      <c r="F1046" s="229"/>
      <c r="G1046">
        <v>8</v>
      </c>
    </row>
    <row r="1047" spans="1:7" hidden="1" x14ac:dyDescent="0.2">
      <c r="A1047" t="str">
        <f t="shared" si="19"/>
        <v>SCM MobileJAVA: Métodos de Negócio (Controller)NMédio</v>
      </c>
      <c r="B1047" s="229" t="s">
        <v>233</v>
      </c>
      <c r="C1047" s="229" t="s">
        <v>206</v>
      </c>
      <c r="D1047" s="229" t="s">
        <v>24</v>
      </c>
      <c r="E1047" s="229" t="s">
        <v>75</v>
      </c>
      <c r="F1047" s="229"/>
      <c r="G1047">
        <v>16</v>
      </c>
    </row>
    <row r="1048" spans="1:7" hidden="1" x14ac:dyDescent="0.2">
      <c r="A1048" t="str">
        <f t="shared" si="19"/>
        <v>SCM MobileJAVA: Métodos de Negócio (Controller)NComplexo</v>
      </c>
      <c r="B1048" s="229" t="s">
        <v>233</v>
      </c>
      <c r="C1048" s="229" t="s">
        <v>206</v>
      </c>
      <c r="D1048" s="229" t="s">
        <v>24</v>
      </c>
      <c r="E1048" s="229" t="s">
        <v>76</v>
      </c>
      <c r="F1048" s="229"/>
      <c r="G1048">
        <v>24</v>
      </c>
    </row>
    <row r="1049" spans="1:7" hidden="1" x14ac:dyDescent="0.2">
      <c r="A1049" t="str">
        <f t="shared" si="19"/>
        <v>SCM MobileJAVA: Métodos de Negócio (Controller)ASimplesSimples</v>
      </c>
      <c r="B1049" s="229" t="s">
        <v>233</v>
      </c>
      <c r="C1049" s="229" t="s">
        <v>206</v>
      </c>
      <c r="D1049" s="229" t="s">
        <v>25</v>
      </c>
      <c r="E1049" s="229" t="s">
        <v>26</v>
      </c>
      <c r="F1049" s="229" t="s">
        <v>26</v>
      </c>
      <c r="G1049">
        <v>3</v>
      </c>
    </row>
    <row r="1050" spans="1:7" hidden="1" x14ac:dyDescent="0.2">
      <c r="A1050" t="str">
        <f t="shared" si="19"/>
        <v>SCM MobileJAVA: Métodos de Negócio (Controller)ASimplesMédio</v>
      </c>
      <c r="B1050" s="229" t="s">
        <v>233</v>
      </c>
      <c r="C1050" s="229" t="s">
        <v>206</v>
      </c>
      <c r="D1050" s="229" t="s">
        <v>25</v>
      </c>
      <c r="E1050" s="229" t="s">
        <v>26</v>
      </c>
      <c r="F1050" s="229" t="s">
        <v>75</v>
      </c>
      <c r="G1050">
        <v>5</v>
      </c>
    </row>
    <row r="1051" spans="1:7" hidden="1" x14ac:dyDescent="0.2">
      <c r="A1051" t="str">
        <f t="shared" si="19"/>
        <v>SCM MobileJAVA: Métodos de Negócio (Controller)ASimplesComplexo</v>
      </c>
      <c r="B1051" s="229" t="s">
        <v>233</v>
      </c>
      <c r="C1051" s="229" t="s">
        <v>206</v>
      </c>
      <c r="D1051" s="229" t="s">
        <v>25</v>
      </c>
      <c r="E1051" s="229" t="s">
        <v>26</v>
      </c>
      <c r="F1051" s="229" t="s">
        <v>76</v>
      </c>
      <c r="G1051">
        <v>7</v>
      </c>
    </row>
    <row r="1052" spans="1:7" hidden="1" x14ac:dyDescent="0.2">
      <c r="A1052" t="str">
        <f t="shared" si="19"/>
        <v>SCM MobileJAVA: Métodos de Negócio (Controller)AMédioSimples</v>
      </c>
      <c r="B1052" s="229" t="s">
        <v>233</v>
      </c>
      <c r="C1052" s="229" t="s">
        <v>206</v>
      </c>
      <c r="D1052" s="229" t="s">
        <v>25</v>
      </c>
      <c r="E1052" s="229" t="s">
        <v>75</v>
      </c>
      <c r="F1052" s="229" t="s">
        <v>26</v>
      </c>
      <c r="G1052" s="229">
        <v>8</v>
      </c>
    </row>
    <row r="1053" spans="1:7" hidden="1" x14ac:dyDescent="0.2">
      <c r="A1053" t="str">
        <f t="shared" si="19"/>
        <v>SCM MobileJAVA: Métodos de Negócio (Controller)AMédioMédio</v>
      </c>
      <c r="B1053" s="229" t="s">
        <v>233</v>
      </c>
      <c r="C1053" s="229" t="s">
        <v>206</v>
      </c>
      <c r="D1053" s="229" t="s">
        <v>25</v>
      </c>
      <c r="E1053" s="229" t="s">
        <v>75</v>
      </c>
      <c r="F1053" s="229" t="s">
        <v>75</v>
      </c>
      <c r="G1053">
        <v>10</v>
      </c>
    </row>
    <row r="1054" spans="1:7" hidden="1" x14ac:dyDescent="0.2">
      <c r="A1054" t="str">
        <f t="shared" si="19"/>
        <v>SCM MobileJAVA: Métodos de Negócio (Controller)AMédioComplexo</v>
      </c>
      <c r="B1054" s="229" t="s">
        <v>233</v>
      </c>
      <c r="C1054" s="229" t="s">
        <v>206</v>
      </c>
      <c r="D1054" s="229" t="s">
        <v>25</v>
      </c>
      <c r="E1054" s="229" t="s">
        <v>75</v>
      </c>
      <c r="F1054" s="229" t="s">
        <v>76</v>
      </c>
      <c r="G1054">
        <v>14</v>
      </c>
    </row>
    <row r="1055" spans="1:7" hidden="1" x14ac:dyDescent="0.2">
      <c r="A1055" t="str">
        <f t="shared" si="19"/>
        <v>SCM MobileJAVA: Métodos de Negócio (Controller)AComplexoSimples</v>
      </c>
      <c r="B1055" s="229" t="s">
        <v>233</v>
      </c>
      <c r="C1055" s="229" t="s">
        <v>206</v>
      </c>
      <c r="D1055" s="229" t="s">
        <v>25</v>
      </c>
      <c r="E1055" s="229" t="s">
        <v>76</v>
      </c>
      <c r="F1055" s="229" t="s">
        <v>26</v>
      </c>
      <c r="G1055">
        <v>6</v>
      </c>
    </row>
    <row r="1056" spans="1:7" hidden="1" x14ac:dyDescent="0.2">
      <c r="A1056" t="str">
        <f t="shared" si="19"/>
        <v>SCM MobileJAVA: Métodos de Negócio (Controller)AComplexoMédio</v>
      </c>
      <c r="B1056" s="229" t="s">
        <v>233</v>
      </c>
      <c r="C1056" s="229" t="s">
        <v>206</v>
      </c>
      <c r="D1056" s="229" t="s">
        <v>25</v>
      </c>
      <c r="E1056" s="229" t="s">
        <v>76</v>
      </c>
      <c r="F1056" s="229" t="s">
        <v>75</v>
      </c>
      <c r="G1056">
        <v>10</v>
      </c>
    </row>
    <row r="1057" spans="1:7" hidden="1" x14ac:dyDescent="0.2">
      <c r="A1057" t="str">
        <f t="shared" si="19"/>
        <v>SCM MobileJAVA: Métodos de Negócio (Controller)AComplexoComplexo</v>
      </c>
      <c r="B1057" s="229" t="s">
        <v>233</v>
      </c>
      <c r="C1057" s="229" t="s">
        <v>206</v>
      </c>
      <c r="D1057" s="229" t="s">
        <v>25</v>
      </c>
      <c r="E1057" s="229" t="s">
        <v>76</v>
      </c>
      <c r="F1057" s="229" t="s">
        <v>76</v>
      </c>
      <c r="G1057">
        <v>16</v>
      </c>
    </row>
    <row r="1058" spans="1:7" hidden="1" x14ac:dyDescent="0.2">
      <c r="A1058" t="str">
        <f t="shared" si="19"/>
        <v>SCM MobileJAVA: EntityNSimples</v>
      </c>
      <c r="B1058" s="229" t="s">
        <v>233</v>
      </c>
      <c r="C1058" s="229" t="s">
        <v>207</v>
      </c>
      <c r="D1058" s="229" t="s">
        <v>24</v>
      </c>
      <c r="E1058" s="229" t="s">
        <v>26</v>
      </c>
      <c r="F1058" s="229"/>
      <c r="G1058">
        <v>1</v>
      </c>
    </row>
    <row r="1059" spans="1:7" hidden="1" x14ac:dyDescent="0.2">
      <c r="A1059" t="str">
        <f t="shared" si="19"/>
        <v>SCM MobileJAVA: EntityNMédio</v>
      </c>
      <c r="B1059" s="229" t="s">
        <v>233</v>
      </c>
      <c r="C1059" s="229" t="s">
        <v>207</v>
      </c>
      <c r="D1059" s="229" t="s">
        <v>24</v>
      </c>
      <c r="E1059" s="229" t="s">
        <v>75</v>
      </c>
      <c r="F1059" s="229"/>
      <c r="G1059">
        <v>2</v>
      </c>
    </row>
    <row r="1060" spans="1:7" hidden="1" x14ac:dyDescent="0.2">
      <c r="A1060" t="str">
        <f t="shared" si="19"/>
        <v>SCM MobileJAVA: EntityNComplexo</v>
      </c>
      <c r="B1060" s="229" t="s">
        <v>233</v>
      </c>
      <c r="C1060" s="229" t="s">
        <v>207</v>
      </c>
      <c r="D1060" s="229" t="s">
        <v>24</v>
      </c>
      <c r="E1060" s="229" t="s">
        <v>76</v>
      </c>
      <c r="F1060" s="229"/>
      <c r="G1060">
        <v>4</v>
      </c>
    </row>
    <row r="1061" spans="1:7" hidden="1" x14ac:dyDescent="0.2">
      <c r="A1061" t="str">
        <f t="shared" si="19"/>
        <v>SCM MobileJAVA: EntityASimplesSimples</v>
      </c>
      <c r="B1061" s="229" t="s">
        <v>233</v>
      </c>
      <c r="C1061" s="229" t="s">
        <v>207</v>
      </c>
      <c r="D1061" s="229" t="s">
        <v>25</v>
      </c>
      <c r="E1061" s="229" t="s">
        <v>26</v>
      </c>
      <c r="F1061" s="229" t="s">
        <v>26</v>
      </c>
      <c r="G1061">
        <v>1</v>
      </c>
    </row>
    <row r="1062" spans="1:7" hidden="1" x14ac:dyDescent="0.2">
      <c r="A1062" t="str">
        <f t="shared" si="19"/>
        <v>SCM MobileJAVA: EntityASimplesMédio</v>
      </c>
      <c r="B1062" s="229" t="s">
        <v>233</v>
      </c>
      <c r="C1062" s="229" t="s">
        <v>207</v>
      </c>
      <c r="D1062" s="229" t="s">
        <v>25</v>
      </c>
      <c r="E1062" s="229" t="s">
        <v>26</v>
      </c>
      <c r="F1062" s="229" t="s">
        <v>75</v>
      </c>
      <c r="G1062">
        <v>2</v>
      </c>
    </row>
    <row r="1063" spans="1:7" hidden="1" x14ac:dyDescent="0.2">
      <c r="A1063" t="str">
        <f t="shared" si="19"/>
        <v>SCM MobileJAVA: EntityASimplesComplexo</v>
      </c>
      <c r="B1063" s="229" t="s">
        <v>233</v>
      </c>
      <c r="C1063" s="229" t="s">
        <v>207</v>
      </c>
      <c r="D1063" s="229" t="s">
        <v>25</v>
      </c>
      <c r="E1063" s="229" t="s">
        <v>26</v>
      </c>
      <c r="F1063" s="229" t="s">
        <v>76</v>
      </c>
      <c r="G1063">
        <v>3</v>
      </c>
    </row>
    <row r="1064" spans="1:7" hidden="1" x14ac:dyDescent="0.2">
      <c r="A1064" t="str">
        <f t="shared" si="19"/>
        <v>SCM MobileJAVA: EntityAMédioSimples</v>
      </c>
      <c r="B1064" s="229" t="s">
        <v>233</v>
      </c>
      <c r="C1064" s="229" t="s">
        <v>207</v>
      </c>
      <c r="D1064" s="229" t="s">
        <v>25</v>
      </c>
      <c r="E1064" s="229" t="s">
        <v>75</v>
      </c>
      <c r="F1064" s="229" t="s">
        <v>26</v>
      </c>
      <c r="G1064">
        <v>2</v>
      </c>
    </row>
    <row r="1065" spans="1:7" hidden="1" x14ac:dyDescent="0.2">
      <c r="A1065" t="str">
        <f t="shared" si="19"/>
        <v>SCM MobileJAVA: EntityAMédioMédio</v>
      </c>
      <c r="B1065" s="229" t="s">
        <v>233</v>
      </c>
      <c r="C1065" s="229" t="s">
        <v>207</v>
      </c>
      <c r="D1065" s="229" t="s">
        <v>25</v>
      </c>
      <c r="E1065" s="229" t="s">
        <v>75</v>
      </c>
      <c r="F1065" s="229" t="s">
        <v>75</v>
      </c>
      <c r="G1065">
        <v>3</v>
      </c>
    </row>
    <row r="1066" spans="1:7" hidden="1" x14ac:dyDescent="0.2">
      <c r="A1066" t="str">
        <f t="shared" si="19"/>
        <v>SCM MobileJAVA: EntityAMédioComplexo</v>
      </c>
      <c r="B1066" s="229" t="s">
        <v>233</v>
      </c>
      <c r="C1066" s="229" t="s">
        <v>207</v>
      </c>
      <c r="D1066" s="229" t="s">
        <v>25</v>
      </c>
      <c r="E1066" s="229" t="s">
        <v>75</v>
      </c>
      <c r="F1066" s="229" t="s">
        <v>76</v>
      </c>
      <c r="G1066">
        <v>4</v>
      </c>
    </row>
    <row r="1067" spans="1:7" hidden="1" x14ac:dyDescent="0.2">
      <c r="A1067" t="str">
        <f t="shared" si="19"/>
        <v>SCM MobileJAVA: EntityAComplexoSimples</v>
      </c>
      <c r="B1067" s="229" t="s">
        <v>233</v>
      </c>
      <c r="C1067" s="229" t="s">
        <v>207</v>
      </c>
      <c r="D1067" s="229" t="s">
        <v>25</v>
      </c>
      <c r="E1067" s="229" t="s">
        <v>76</v>
      </c>
      <c r="F1067" s="229" t="s">
        <v>26</v>
      </c>
      <c r="G1067">
        <v>3</v>
      </c>
    </row>
    <row r="1068" spans="1:7" hidden="1" x14ac:dyDescent="0.2">
      <c r="A1068" t="str">
        <f t="shared" si="19"/>
        <v>SCM MobileJAVA: EntityAComplexoMédio</v>
      </c>
      <c r="B1068" s="229" t="s">
        <v>233</v>
      </c>
      <c r="C1068" s="229" t="s">
        <v>207</v>
      </c>
      <c r="D1068" s="229" t="s">
        <v>25</v>
      </c>
      <c r="E1068" s="229" t="s">
        <v>76</v>
      </c>
      <c r="F1068" s="229" t="s">
        <v>75</v>
      </c>
      <c r="G1068">
        <v>5</v>
      </c>
    </row>
    <row r="1069" spans="1:7" hidden="1" x14ac:dyDescent="0.2">
      <c r="A1069" t="str">
        <f t="shared" si="19"/>
        <v>SCM MobileJAVA: EntityAComplexoComplexo</v>
      </c>
      <c r="B1069" s="229" t="s">
        <v>233</v>
      </c>
      <c r="C1069" s="229" t="s">
        <v>207</v>
      </c>
      <c r="D1069" s="229" t="s">
        <v>25</v>
      </c>
      <c r="E1069" s="229" t="s">
        <v>76</v>
      </c>
      <c r="F1069" s="229" t="s">
        <v>76</v>
      </c>
      <c r="G1069">
        <v>8</v>
      </c>
    </row>
    <row r="1070" spans="1:7" hidden="1" x14ac:dyDescent="0.2">
      <c r="A1070" t="str">
        <f t="shared" si="19"/>
        <v>SCM MobileConfiguração Projeto/MóduloNSimples</v>
      </c>
      <c r="B1070" s="229" t="s">
        <v>233</v>
      </c>
      <c r="C1070" s="229" t="s">
        <v>221</v>
      </c>
      <c r="D1070" s="229" t="s">
        <v>24</v>
      </c>
      <c r="E1070" s="229" t="s">
        <v>26</v>
      </c>
      <c r="F1070" s="229"/>
      <c r="G1070">
        <v>2</v>
      </c>
    </row>
    <row r="1071" spans="1:7" hidden="1" x14ac:dyDescent="0.2">
      <c r="A1071" t="str">
        <f t="shared" si="19"/>
        <v>SCM MobileConfiguração Projeto/MóduloNMédio</v>
      </c>
      <c r="B1071" s="229" t="s">
        <v>233</v>
      </c>
      <c r="C1071" s="229" t="s">
        <v>221</v>
      </c>
      <c r="D1071" s="229" t="s">
        <v>24</v>
      </c>
      <c r="E1071" s="229" t="s">
        <v>75</v>
      </c>
      <c r="F1071" s="229"/>
      <c r="G1071">
        <v>4</v>
      </c>
    </row>
    <row r="1072" spans="1:7" hidden="1" x14ac:dyDescent="0.2">
      <c r="A1072" t="str">
        <f t="shared" si="19"/>
        <v>SCM MobileConfiguração Projeto/MóduloNComplexo</v>
      </c>
      <c r="B1072" s="229" t="s">
        <v>233</v>
      </c>
      <c r="C1072" s="229" t="s">
        <v>221</v>
      </c>
      <c r="D1072" s="229" t="s">
        <v>24</v>
      </c>
      <c r="E1072" s="229" t="s">
        <v>76</v>
      </c>
      <c r="F1072" s="229"/>
      <c r="G1072">
        <v>8</v>
      </c>
    </row>
    <row r="1073" spans="1:7" hidden="1" x14ac:dyDescent="0.2">
      <c r="A1073" t="str">
        <f t="shared" si="19"/>
        <v>SCM MobileConfiguração Projeto/MóduloASimplesSimples</v>
      </c>
      <c r="B1073" s="229" t="s">
        <v>233</v>
      </c>
      <c r="C1073" s="229" t="s">
        <v>221</v>
      </c>
      <c r="D1073" s="229" t="s">
        <v>25</v>
      </c>
      <c r="E1073" s="229" t="s">
        <v>26</v>
      </c>
      <c r="F1073" s="229" t="s">
        <v>26</v>
      </c>
      <c r="G1073">
        <v>1</v>
      </c>
    </row>
    <row r="1074" spans="1:7" hidden="1" x14ac:dyDescent="0.2">
      <c r="A1074" t="str">
        <f t="shared" si="19"/>
        <v>SCM MobileConfiguração Projeto/MóduloASimplesMédio</v>
      </c>
      <c r="B1074" s="229" t="s">
        <v>233</v>
      </c>
      <c r="C1074" s="229" t="s">
        <v>221</v>
      </c>
      <c r="D1074" s="229" t="s">
        <v>25</v>
      </c>
      <c r="E1074" s="229" t="s">
        <v>26</v>
      </c>
      <c r="F1074" s="229" t="s">
        <v>75</v>
      </c>
      <c r="G1074">
        <v>2</v>
      </c>
    </row>
    <row r="1075" spans="1:7" hidden="1" x14ac:dyDescent="0.2">
      <c r="A1075" t="str">
        <f t="shared" si="19"/>
        <v>SCM MobileConfiguração Projeto/MóduloASimplesComplexo</v>
      </c>
      <c r="B1075" s="229" t="s">
        <v>233</v>
      </c>
      <c r="C1075" s="229" t="s">
        <v>221</v>
      </c>
      <c r="D1075" s="229" t="s">
        <v>25</v>
      </c>
      <c r="E1075" s="229" t="s">
        <v>26</v>
      </c>
      <c r="F1075" s="229" t="s">
        <v>76</v>
      </c>
      <c r="G1075">
        <v>4</v>
      </c>
    </row>
    <row r="1076" spans="1:7" hidden="1" x14ac:dyDescent="0.2">
      <c r="A1076" t="str">
        <f t="shared" si="19"/>
        <v>SCM MobileConfiguração Projeto/MóduloAMédioSimples</v>
      </c>
      <c r="B1076" s="229" t="s">
        <v>233</v>
      </c>
      <c r="C1076" s="229" t="s">
        <v>221</v>
      </c>
      <c r="D1076" s="229" t="s">
        <v>25</v>
      </c>
      <c r="E1076" s="229" t="s">
        <v>75</v>
      </c>
      <c r="F1076" s="229" t="s">
        <v>26</v>
      </c>
      <c r="G1076">
        <v>2</v>
      </c>
    </row>
    <row r="1077" spans="1:7" hidden="1" x14ac:dyDescent="0.2">
      <c r="A1077" t="str">
        <f t="shared" si="19"/>
        <v>SCM MobileConfiguração Projeto/MóduloAMédioMédio</v>
      </c>
      <c r="B1077" s="229" t="s">
        <v>233</v>
      </c>
      <c r="C1077" s="229" t="s">
        <v>221</v>
      </c>
      <c r="D1077" s="229" t="s">
        <v>25</v>
      </c>
      <c r="E1077" s="229" t="s">
        <v>75</v>
      </c>
      <c r="F1077" s="229" t="s">
        <v>75</v>
      </c>
      <c r="G1077">
        <v>4</v>
      </c>
    </row>
    <row r="1078" spans="1:7" hidden="1" x14ac:dyDescent="0.2">
      <c r="A1078" t="str">
        <f t="shared" si="19"/>
        <v>SCM MobileConfiguração Projeto/MóduloAMédioComplexo</v>
      </c>
      <c r="B1078" s="229" t="s">
        <v>233</v>
      </c>
      <c r="C1078" s="229" t="s">
        <v>221</v>
      </c>
      <c r="D1078" s="229" t="s">
        <v>25</v>
      </c>
      <c r="E1078" s="229" t="s">
        <v>75</v>
      </c>
      <c r="F1078" s="229" t="s">
        <v>76</v>
      </c>
      <c r="G1078">
        <v>5</v>
      </c>
    </row>
    <row r="1079" spans="1:7" hidden="1" x14ac:dyDescent="0.2">
      <c r="A1079" t="str">
        <f t="shared" si="19"/>
        <v>SCM MobileConfiguração Projeto/MóduloAComplexoSimples</v>
      </c>
      <c r="B1079" s="229" t="s">
        <v>233</v>
      </c>
      <c r="C1079" s="229" t="s">
        <v>221</v>
      </c>
      <c r="D1079" s="229" t="s">
        <v>25</v>
      </c>
      <c r="E1079" s="229" t="s">
        <v>76</v>
      </c>
      <c r="F1079" s="229" t="s">
        <v>26</v>
      </c>
      <c r="G1079">
        <v>5</v>
      </c>
    </row>
    <row r="1080" spans="1:7" hidden="1" x14ac:dyDescent="0.2">
      <c r="A1080" t="str">
        <f t="shared" si="19"/>
        <v>SCM MobileConfiguração Projeto/MóduloAComplexoMédio</v>
      </c>
      <c r="B1080" s="229" t="s">
        <v>233</v>
      </c>
      <c r="C1080" s="229" t="s">
        <v>221</v>
      </c>
      <c r="D1080" s="229" t="s">
        <v>25</v>
      </c>
      <c r="E1080" s="229" t="s">
        <v>76</v>
      </c>
      <c r="F1080" s="229" t="s">
        <v>75</v>
      </c>
      <c r="G1080">
        <v>7</v>
      </c>
    </row>
    <row r="1081" spans="1:7" hidden="1" x14ac:dyDescent="0.2">
      <c r="A1081" t="str">
        <f t="shared" si="19"/>
        <v>SCM MobileConfiguração Projeto/MóduloAComplexoComplexo</v>
      </c>
      <c r="B1081" s="229" t="s">
        <v>233</v>
      </c>
      <c r="C1081" s="229" t="s">
        <v>221</v>
      </c>
      <c r="D1081" s="229" t="s">
        <v>25</v>
      </c>
      <c r="E1081" s="229" t="s">
        <v>76</v>
      </c>
      <c r="F1081" s="229" t="s">
        <v>76</v>
      </c>
      <c r="G1081">
        <v>8</v>
      </c>
    </row>
    <row r="1082" spans="1:7" hidden="1" x14ac:dyDescent="0.2">
      <c r="A1082" t="str">
        <f t="shared" ref="A1082:A1088" si="20">B1082&amp;C1082&amp;D1082&amp;E1082&amp;F1082</f>
        <v>SCM BlockedRegraDroolsNSimples</v>
      </c>
      <c r="B1082" s="229" t="s">
        <v>234</v>
      </c>
      <c r="C1082" s="229" t="s">
        <v>218</v>
      </c>
      <c r="D1082" s="229" t="s">
        <v>24</v>
      </c>
      <c r="E1082" s="229" t="s">
        <v>26</v>
      </c>
      <c r="F1082" s="229"/>
      <c r="G1082">
        <v>4</v>
      </c>
    </row>
    <row r="1083" spans="1:7" hidden="1" x14ac:dyDescent="0.2">
      <c r="A1083" t="str">
        <f t="shared" si="20"/>
        <v>SCM BlockedRegraDroolsNMédio</v>
      </c>
      <c r="B1083" s="229" t="s">
        <v>234</v>
      </c>
      <c r="C1083" s="229" t="s">
        <v>218</v>
      </c>
      <c r="D1083" s="229" t="s">
        <v>24</v>
      </c>
      <c r="E1083" s="229" t="s">
        <v>75</v>
      </c>
      <c r="F1083" s="229"/>
      <c r="G1083">
        <v>6</v>
      </c>
    </row>
    <row r="1084" spans="1:7" hidden="1" x14ac:dyDescent="0.2">
      <c r="A1084" t="str">
        <f t="shared" si="20"/>
        <v>SCM BlockedRegraDroolsNComplexo</v>
      </c>
      <c r="B1084" s="229" t="s">
        <v>234</v>
      </c>
      <c r="C1084" s="229" t="s">
        <v>218</v>
      </c>
      <c r="D1084" s="229" t="s">
        <v>24</v>
      </c>
      <c r="E1084" s="229" t="s">
        <v>76</v>
      </c>
      <c r="F1084" s="229"/>
      <c r="G1084">
        <v>10</v>
      </c>
    </row>
    <row r="1085" spans="1:7" hidden="1" x14ac:dyDescent="0.2">
      <c r="A1085" t="str">
        <f t="shared" si="20"/>
        <v>SCM BlockedRegraDroolsASimplesSimples</v>
      </c>
      <c r="B1085" s="229" t="s">
        <v>234</v>
      </c>
      <c r="C1085" s="229" t="s">
        <v>218</v>
      </c>
      <c r="D1085" s="229" t="s">
        <v>25</v>
      </c>
      <c r="E1085" s="229" t="s">
        <v>26</v>
      </c>
      <c r="F1085" s="229" t="s">
        <v>26</v>
      </c>
      <c r="G1085">
        <v>3</v>
      </c>
    </row>
    <row r="1086" spans="1:7" hidden="1" x14ac:dyDescent="0.2">
      <c r="A1086" t="str">
        <f t="shared" si="20"/>
        <v>SCM BlockedRegraDroolsASimplesMédio</v>
      </c>
      <c r="B1086" s="229" t="s">
        <v>234</v>
      </c>
      <c r="C1086" s="229" t="s">
        <v>218</v>
      </c>
      <c r="D1086" s="229" t="s">
        <v>25</v>
      </c>
      <c r="E1086" s="229" t="s">
        <v>26</v>
      </c>
      <c r="F1086" s="229" t="s">
        <v>75</v>
      </c>
      <c r="G1086">
        <v>5</v>
      </c>
    </row>
    <row r="1087" spans="1:7" hidden="1" x14ac:dyDescent="0.2">
      <c r="A1087" t="str">
        <f t="shared" si="20"/>
        <v>SCM BlockedRegraDroolsASimplesComplexo</v>
      </c>
      <c r="B1087" s="229" t="s">
        <v>234</v>
      </c>
      <c r="C1087" s="229" t="s">
        <v>218</v>
      </c>
      <c r="D1087" s="229" t="s">
        <v>25</v>
      </c>
      <c r="E1087" s="229" t="s">
        <v>26</v>
      </c>
      <c r="F1087" s="229" t="s">
        <v>76</v>
      </c>
      <c r="G1087">
        <v>8</v>
      </c>
    </row>
    <row r="1088" spans="1:7" hidden="1" x14ac:dyDescent="0.2">
      <c r="A1088" t="str">
        <f t="shared" si="20"/>
        <v>SCM BlockedRegraDroolsAMédioSimples</v>
      </c>
      <c r="B1088" s="229" t="s">
        <v>234</v>
      </c>
      <c r="C1088" s="229" t="s">
        <v>218</v>
      </c>
      <c r="D1088" s="229" t="s">
        <v>25</v>
      </c>
      <c r="E1088" s="229" t="s">
        <v>75</v>
      </c>
      <c r="F1088" s="229" t="s">
        <v>26</v>
      </c>
      <c r="G1088">
        <v>4</v>
      </c>
    </row>
    <row r="1089" spans="1:7" hidden="1" x14ac:dyDescent="0.2">
      <c r="A1089" t="str">
        <f t="shared" ref="A1089:A1152" si="21">B1089&amp;C1089&amp;D1089&amp;E1089&amp;F1089</f>
        <v>SCM BlockedRegraDroolsAMédioMédio</v>
      </c>
      <c r="B1089" s="229" t="s">
        <v>234</v>
      </c>
      <c r="C1089" s="229" t="s">
        <v>218</v>
      </c>
      <c r="D1089" s="229" t="s">
        <v>25</v>
      </c>
      <c r="E1089" s="229" t="s">
        <v>75</v>
      </c>
      <c r="F1089" s="229" t="s">
        <v>75</v>
      </c>
      <c r="G1089">
        <v>7</v>
      </c>
    </row>
    <row r="1090" spans="1:7" hidden="1" x14ac:dyDescent="0.2">
      <c r="A1090" t="str">
        <f t="shared" si="21"/>
        <v>SCM BlockedRegraDroolsAMédioComplexo</v>
      </c>
      <c r="B1090" s="229" t="s">
        <v>234</v>
      </c>
      <c r="C1090" s="229" t="s">
        <v>218</v>
      </c>
      <c r="D1090" s="229" t="s">
        <v>25</v>
      </c>
      <c r="E1090" s="229" t="s">
        <v>75</v>
      </c>
      <c r="F1090" s="229" t="s">
        <v>76</v>
      </c>
      <c r="G1090">
        <v>10</v>
      </c>
    </row>
    <row r="1091" spans="1:7" hidden="1" x14ac:dyDescent="0.2">
      <c r="A1091" t="str">
        <f t="shared" si="21"/>
        <v>SCM BlockedRegraDroolsAComplexoSimples</v>
      </c>
      <c r="B1091" s="229" t="s">
        <v>234</v>
      </c>
      <c r="C1091" s="229" t="s">
        <v>218</v>
      </c>
      <c r="D1091" s="229" t="s">
        <v>25</v>
      </c>
      <c r="E1091" s="229" t="s">
        <v>76</v>
      </c>
      <c r="F1091" s="229" t="s">
        <v>26</v>
      </c>
      <c r="G1091">
        <v>7</v>
      </c>
    </row>
    <row r="1092" spans="1:7" hidden="1" x14ac:dyDescent="0.2">
      <c r="A1092" t="str">
        <f t="shared" si="21"/>
        <v>SCM BlockedRegraDroolsAComplexoMédio</v>
      </c>
      <c r="B1092" s="229" t="s">
        <v>234</v>
      </c>
      <c r="C1092" s="229" t="s">
        <v>218</v>
      </c>
      <c r="D1092" s="229" t="s">
        <v>25</v>
      </c>
      <c r="E1092" s="229" t="s">
        <v>76</v>
      </c>
      <c r="F1092" s="229" t="s">
        <v>75</v>
      </c>
      <c r="G1092">
        <v>9</v>
      </c>
    </row>
    <row r="1093" spans="1:7" hidden="1" x14ac:dyDescent="0.2">
      <c r="A1093" t="str">
        <f t="shared" si="21"/>
        <v>SCM BlockedRegraDroolsAComplexoComplexo</v>
      </c>
      <c r="B1093" s="229" t="s">
        <v>234</v>
      </c>
      <c r="C1093" s="229" t="s">
        <v>218</v>
      </c>
      <c r="D1093" s="229" t="s">
        <v>25</v>
      </c>
      <c r="E1093" s="229" t="s">
        <v>76</v>
      </c>
      <c r="F1093" s="229" t="s">
        <v>76</v>
      </c>
      <c r="G1093">
        <v>14</v>
      </c>
    </row>
    <row r="1094" spans="1:7" hidden="1" x14ac:dyDescent="0.2">
      <c r="A1094" t="str">
        <f t="shared" si="21"/>
        <v>SCM BlockedJUnitNSimples</v>
      </c>
      <c r="B1094" s="229" t="s">
        <v>234</v>
      </c>
      <c r="C1094" s="229" t="s">
        <v>219</v>
      </c>
      <c r="D1094" s="229" t="s">
        <v>24</v>
      </c>
      <c r="E1094" s="229" t="s">
        <v>26</v>
      </c>
      <c r="F1094" s="229"/>
      <c r="G1094">
        <v>4</v>
      </c>
    </row>
    <row r="1095" spans="1:7" hidden="1" x14ac:dyDescent="0.2">
      <c r="A1095" t="str">
        <f t="shared" si="21"/>
        <v>SCM BlockedJUnitNMédio</v>
      </c>
      <c r="B1095" s="229" t="s">
        <v>234</v>
      </c>
      <c r="C1095" s="229" t="s">
        <v>219</v>
      </c>
      <c r="D1095" s="229" t="s">
        <v>24</v>
      </c>
      <c r="E1095" s="229" t="s">
        <v>75</v>
      </c>
      <c r="F1095" s="229"/>
      <c r="G1095">
        <v>6</v>
      </c>
    </row>
    <row r="1096" spans="1:7" hidden="1" x14ac:dyDescent="0.2">
      <c r="A1096" t="str">
        <f t="shared" si="21"/>
        <v>SCM BlockedJUnitNComplexo</v>
      </c>
      <c r="B1096" s="229" t="s">
        <v>234</v>
      </c>
      <c r="C1096" s="229" t="s">
        <v>219</v>
      </c>
      <c r="D1096" s="229" t="s">
        <v>24</v>
      </c>
      <c r="E1096" s="229" t="s">
        <v>76</v>
      </c>
      <c r="F1096" s="229"/>
      <c r="G1096">
        <v>10</v>
      </c>
    </row>
    <row r="1097" spans="1:7" hidden="1" x14ac:dyDescent="0.2">
      <c r="A1097" t="str">
        <f t="shared" si="21"/>
        <v>SCM BlockedJUnitASimplesSimples</v>
      </c>
      <c r="B1097" s="229" t="s">
        <v>234</v>
      </c>
      <c r="C1097" s="229" t="s">
        <v>219</v>
      </c>
      <c r="D1097" s="229" t="s">
        <v>25</v>
      </c>
      <c r="E1097" s="229" t="s">
        <v>26</v>
      </c>
      <c r="F1097" s="229" t="s">
        <v>26</v>
      </c>
      <c r="G1097">
        <v>3</v>
      </c>
    </row>
    <row r="1098" spans="1:7" hidden="1" x14ac:dyDescent="0.2">
      <c r="A1098" t="str">
        <f t="shared" si="21"/>
        <v>SCM BlockedJUnitASimplesMédio</v>
      </c>
      <c r="B1098" s="229" t="s">
        <v>234</v>
      </c>
      <c r="C1098" s="229" t="s">
        <v>219</v>
      </c>
      <c r="D1098" s="229" t="s">
        <v>25</v>
      </c>
      <c r="E1098" s="229" t="s">
        <v>26</v>
      </c>
      <c r="F1098" s="229" t="s">
        <v>75</v>
      </c>
      <c r="G1098">
        <v>5</v>
      </c>
    </row>
    <row r="1099" spans="1:7" hidden="1" x14ac:dyDescent="0.2">
      <c r="A1099" t="str">
        <f t="shared" si="21"/>
        <v>SCM BlockedJUnitASimplesComplexo</v>
      </c>
      <c r="B1099" s="229" t="s">
        <v>234</v>
      </c>
      <c r="C1099" s="229" t="s">
        <v>219</v>
      </c>
      <c r="D1099" s="229" t="s">
        <v>25</v>
      </c>
      <c r="E1099" s="229" t="s">
        <v>26</v>
      </c>
      <c r="F1099" s="229" t="s">
        <v>76</v>
      </c>
      <c r="G1099">
        <v>6</v>
      </c>
    </row>
    <row r="1100" spans="1:7" hidden="1" x14ac:dyDescent="0.2">
      <c r="A1100" t="str">
        <f t="shared" si="21"/>
        <v>SCM BlockedJUnitAMédioSimples</v>
      </c>
      <c r="B1100" s="229" t="s">
        <v>234</v>
      </c>
      <c r="C1100" s="229" t="s">
        <v>219</v>
      </c>
      <c r="D1100" s="229" t="s">
        <v>25</v>
      </c>
      <c r="E1100" s="229" t="s">
        <v>75</v>
      </c>
      <c r="F1100" s="229" t="s">
        <v>26</v>
      </c>
      <c r="G1100">
        <v>4</v>
      </c>
    </row>
    <row r="1101" spans="1:7" hidden="1" x14ac:dyDescent="0.2">
      <c r="A1101" t="str">
        <f t="shared" si="21"/>
        <v>SCM BlockedJUnitAMédioMédio</v>
      </c>
      <c r="B1101" s="229" t="s">
        <v>234</v>
      </c>
      <c r="C1101" s="229" t="s">
        <v>219</v>
      </c>
      <c r="D1101" s="229" t="s">
        <v>25</v>
      </c>
      <c r="E1101" s="229" t="s">
        <v>75</v>
      </c>
      <c r="F1101" s="229" t="s">
        <v>75</v>
      </c>
      <c r="G1101">
        <v>6</v>
      </c>
    </row>
    <row r="1102" spans="1:7" hidden="1" x14ac:dyDescent="0.2">
      <c r="A1102" t="str">
        <f t="shared" si="21"/>
        <v>SCM BlockedJUnitAMédioComplexo</v>
      </c>
      <c r="B1102" s="229" t="s">
        <v>234</v>
      </c>
      <c r="C1102" s="229" t="s">
        <v>219</v>
      </c>
      <c r="D1102" s="229" t="s">
        <v>25</v>
      </c>
      <c r="E1102" s="229" t="s">
        <v>75</v>
      </c>
      <c r="F1102" s="229" t="s">
        <v>76</v>
      </c>
      <c r="G1102">
        <v>8</v>
      </c>
    </row>
    <row r="1103" spans="1:7" hidden="1" x14ac:dyDescent="0.2">
      <c r="A1103" t="str">
        <f t="shared" si="21"/>
        <v>SCM BlockedJUnitAComplexoSimples</v>
      </c>
      <c r="B1103" s="229" t="s">
        <v>234</v>
      </c>
      <c r="C1103" s="229" t="s">
        <v>219</v>
      </c>
      <c r="D1103" s="229" t="s">
        <v>25</v>
      </c>
      <c r="E1103" s="229" t="s">
        <v>76</v>
      </c>
      <c r="F1103" s="229" t="s">
        <v>26</v>
      </c>
      <c r="G1103">
        <v>5</v>
      </c>
    </row>
    <row r="1104" spans="1:7" hidden="1" x14ac:dyDescent="0.2">
      <c r="A1104" t="str">
        <f t="shared" si="21"/>
        <v>SCM BlockedJUnitAComplexoMédio</v>
      </c>
      <c r="B1104" s="229" t="s">
        <v>234</v>
      </c>
      <c r="C1104" s="229" t="s">
        <v>219</v>
      </c>
      <c r="D1104" s="229" t="s">
        <v>25</v>
      </c>
      <c r="E1104" s="229" t="s">
        <v>76</v>
      </c>
      <c r="F1104" s="229" t="s">
        <v>75</v>
      </c>
      <c r="G1104">
        <v>7</v>
      </c>
    </row>
    <row r="1105" spans="1:7" hidden="1" x14ac:dyDescent="0.2">
      <c r="A1105" t="str">
        <f t="shared" si="21"/>
        <v>SCM BlockedJUnitAComplexoComplexo</v>
      </c>
      <c r="B1105" s="229" t="s">
        <v>234</v>
      </c>
      <c r="C1105" s="229" t="s">
        <v>219</v>
      </c>
      <c r="D1105" s="229" t="s">
        <v>25</v>
      </c>
      <c r="E1105" s="229" t="s">
        <v>76</v>
      </c>
      <c r="F1105" s="229" t="s">
        <v>76</v>
      </c>
      <c r="G1105">
        <v>9</v>
      </c>
    </row>
    <row r="1106" spans="1:7" hidden="1" x14ac:dyDescent="0.2">
      <c r="A1106" t="str">
        <f t="shared" si="21"/>
        <v>SCM BlockedBanco de Dados (DML, DDL)NSimples</v>
      </c>
      <c r="B1106" s="229" t="s">
        <v>234</v>
      </c>
      <c r="C1106" s="229" t="s">
        <v>220</v>
      </c>
      <c r="D1106" s="229" t="s">
        <v>24</v>
      </c>
      <c r="E1106" s="229" t="s">
        <v>26</v>
      </c>
      <c r="F1106" s="229"/>
      <c r="G1106">
        <v>2</v>
      </c>
    </row>
    <row r="1107" spans="1:7" hidden="1" x14ac:dyDescent="0.2">
      <c r="A1107" t="str">
        <f t="shared" si="21"/>
        <v>SCM BlockedBanco de Dados (DML, DDL)NMédio</v>
      </c>
      <c r="B1107" s="229" t="s">
        <v>234</v>
      </c>
      <c r="C1107" s="229" t="s">
        <v>220</v>
      </c>
      <c r="D1107" s="229" t="s">
        <v>24</v>
      </c>
      <c r="E1107" s="229" t="s">
        <v>75</v>
      </c>
      <c r="F1107" s="229"/>
      <c r="G1107">
        <v>4</v>
      </c>
    </row>
    <row r="1108" spans="1:7" hidden="1" x14ac:dyDescent="0.2">
      <c r="A1108" t="str">
        <f t="shared" si="21"/>
        <v>SCM BlockedBanco de Dados (DML, DDL)NComplexo</v>
      </c>
      <c r="B1108" s="229" t="s">
        <v>234</v>
      </c>
      <c r="C1108" s="229" t="s">
        <v>220</v>
      </c>
      <c r="D1108" s="229" t="s">
        <v>24</v>
      </c>
      <c r="E1108" s="229" t="s">
        <v>76</v>
      </c>
      <c r="F1108" s="229"/>
      <c r="G1108">
        <v>6</v>
      </c>
    </row>
    <row r="1109" spans="1:7" hidden="1" x14ac:dyDescent="0.2">
      <c r="A1109" t="str">
        <f t="shared" si="21"/>
        <v>SCM BlockedBanco de Dados (DML, DDL)ASimplesSimples</v>
      </c>
      <c r="B1109" s="229" t="s">
        <v>234</v>
      </c>
      <c r="C1109" s="229" t="s">
        <v>220</v>
      </c>
      <c r="D1109" s="229" t="s">
        <v>25</v>
      </c>
      <c r="E1109" s="229" t="s">
        <v>26</v>
      </c>
      <c r="F1109" s="229" t="s">
        <v>26</v>
      </c>
      <c r="G1109">
        <v>2</v>
      </c>
    </row>
    <row r="1110" spans="1:7" hidden="1" x14ac:dyDescent="0.2">
      <c r="A1110" t="str">
        <f t="shared" si="21"/>
        <v>SCM BlockedBanco de Dados (DML, DDL)ASimplesMédio</v>
      </c>
      <c r="B1110" s="229" t="s">
        <v>234</v>
      </c>
      <c r="C1110" s="229" t="s">
        <v>220</v>
      </c>
      <c r="D1110" s="229" t="s">
        <v>25</v>
      </c>
      <c r="E1110" s="229" t="s">
        <v>26</v>
      </c>
      <c r="F1110" s="229" t="s">
        <v>75</v>
      </c>
      <c r="G1110">
        <v>4</v>
      </c>
    </row>
    <row r="1111" spans="1:7" hidden="1" x14ac:dyDescent="0.2">
      <c r="A1111" t="str">
        <f t="shared" si="21"/>
        <v>SCM BlockedBanco de Dados (DML, DDL)ASimplesComplexo</v>
      </c>
      <c r="B1111" s="229" t="s">
        <v>234</v>
      </c>
      <c r="C1111" s="229" t="s">
        <v>220</v>
      </c>
      <c r="D1111" s="229" t="s">
        <v>25</v>
      </c>
      <c r="E1111" s="229" t="s">
        <v>26</v>
      </c>
      <c r="F1111" s="229" t="s">
        <v>76</v>
      </c>
      <c r="G1111">
        <v>6</v>
      </c>
    </row>
    <row r="1112" spans="1:7" hidden="1" x14ac:dyDescent="0.2">
      <c r="A1112" t="str">
        <f t="shared" si="21"/>
        <v>SCM BlockedBanco de Dados (DML, DDL)AMédioSimples</v>
      </c>
      <c r="B1112" s="229" t="s">
        <v>234</v>
      </c>
      <c r="C1112" s="229" t="s">
        <v>220</v>
      </c>
      <c r="D1112" s="229" t="s">
        <v>25</v>
      </c>
      <c r="E1112" s="229" t="s">
        <v>75</v>
      </c>
      <c r="F1112" s="229" t="s">
        <v>26</v>
      </c>
      <c r="G1112">
        <v>4</v>
      </c>
    </row>
    <row r="1113" spans="1:7" hidden="1" x14ac:dyDescent="0.2">
      <c r="A1113" t="str">
        <f t="shared" si="21"/>
        <v>SCM BlockedBanco de Dados (DML, DDL)AMédioMédio</v>
      </c>
      <c r="B1113" s="229" t="s">
        <v>234</v>
      </c>
      <c r="C1113" s="229" t="s">
        <v>220</v>
      </c>
      <c r="D1113" s="229" t="s">
        <v>25</v>
      </c>
      <c r="E1113" s="229" t="s">
        <v>75</v>
      </c>
      <c r="F1113" s="229" t="s">
        <v>75</v>
      </c>
      <c r="G1113">
        <v>7</v>
      </c>
    </row>
    <row r="1114" spans="1:7" hidden="1" x14ac:dyDescent="0.2">
      <c r="A1114" t="str">
        <f t="shared" si="21"/>
        <v>SCM BlockedBanco de Dados (DML, DDL)AMédioComplexo</v>
      </c>
      <c r="B1114" s="229" t="s">
        <v>234</v>
      </c>
      <c r="C1114" s="229" t="s">
        <v>220</v>
      </c>
      <c r="D1114" s="229" t="s">
        <v>25</v>
      </c>
      <c r="E1114" s="229" t="s">
        <v>75</v>
      </c>
      <c r="F1114" s="229" t="s">
        <v>76</v>
      </c>
      <c r="G1114">
        <v>9</v>
      </c>
    </row>
    <row r="1115" spans="1:7" hidden="1" x14ac:dyDescent="0.2">
      <c r="A1115" t="str">
        <f t="shared" si="21"/>
        <v>SCM BlockedBanco de Dados (DML, DDL)AComplexoSimples</v>
      </c>
      <c r="B1115" s="229" t="s">
        <v>234</v>
      </c>
      <c r="C1115" s="229" t="s">
        <v>220</v>
      </c>
      <c r="D1115" s="229" t="s">
        <v>25</v>
      </c>
      <c r="E1115" s="229" t="s">
        <v>76</v>
      </c>
      <c r="F1115" s="229" t="s">
        <v>26</v>
      </c>
      <c r="G1115">
        <v>6</v>
      </c>
    </row>
    <row r="1116" spans="1:7" hidden="1" x14ac:dyDescent="0.2">
      <c r="A1116" t="str">
        <f t="shared" si="21"/>
        <v>SCM BlockedBanco de Dados (DML, DDL)AComplexoMédio</v>
      </c>
      <c r="B1116" s="229" t="s">
        <v>234</v>
      </c>
      <c r="C1116" s="229" t="s">
        <v>220</v>
      </c>
      <c r="D1116" s="229" t="s">
        <v>25</v>
      </c>
      <c r="E1116" s="229" t="s">
        <v>76</v>
      </c>
      <c r="F1116" s="229" t="s">
        <v>75</v>
      </c>
      <c r="G1116">
        <v>9</v>
      </c>
    </row>
    <row r="1117" spans="1:7" hidden="1" x14ac:dyDescent="0.2">
      <c r="A1117" t="str">
        <f t="shared" si="21"/>
        <v>SCM BlockedBanco de Dados (DML, DDL)AComplexoComplexo</v>
      </c>
      <c r="B1117" s="229" t="s">
        <v>234</v>
      </c>
      <c r="C1117" s="229" t="s">
        <v>220</v>
      </c>
      <c r="D1117" s="229" t="s">
        <v>25</v>
      </c>
      <c r="E1117" s="229" t="s">
        <v>76</v>
      </c>
      <c r="F1117" s="229" t="s">
        <v>76</v>
      </c>
      <c r="G1117">
        <v>11</v>
      </c>
    </row>
    <row r="1118" spans="1:7" hidden="1" x14ac:dyDescent="0.2">
      <c r="A1118" t="str">
        <f t="shared" si="21"/>
        <v>SCM BlockedBanco de Dados (PL/SQL)NSimples</v>
      </c>
      <c r="B1118" s="229" t="s">
        <v>234</v>
      </c>
      <c r="C1118" s="229" t="s">
        <v>203</v>
      </c>
      <c r="D1118" s="229" t="s">
        <v>24</v>
      </c>
      <c r="E1118" s="229" t="s">
        <v>26</v>
      </c>
      <c r="F1118" s="229"/>
      <c r="G1118">
        <v>5</v>
      </c>
    </row>
    <row r="1119" spans="1:7" hidden="1" x14ac:dyDescent="0.2">
      <c r="A1119" t="str">
        <f t="shared" si="21"/>
        <v>SCM BlockedBanco de Dados (PL/SQL)NMédio</v>
      </c>
      <c r="B1119" s="229" t="s">
        <v>234</v>
      </c>
      <c r="C1119" s="229" t="s">
        <v>203</v>
      </c>
      <c r="D1119" s="229" t="s">
        <v>24</v>
      </c>
      <c r="E1119" s="229" t="s">
        <v>75</v>
      </c>
      <c r="F1119" s="229"/>
      <c r="G1119">
        <v>9</v>
      </c>
    </row>
    <row r="1120" spans="1:7" hidden="1" x14ac:dyDescent="0.2">
      <c r="A1120" t="str">
        <f t="shared" si="21"/>
        <v>SCM BlockedBanco de Dados (PL/SQL)NComplexo</v>
      </c>
      <c r="B1120" s="229" t="s">
        <v>234</v>
      </c>
      <c r="C1120" s="229" t="s">
        <v>203</v>
      </c>
      <c r="D1120" s="229" t="s">
        <v>24</v>
      </c>
      <c r="E1120" s="229" t="s">
        <v>76</v>
      </c>
      <c r="F1120" s="229"/>
      <c r="G1120">
        <v>13</v>
      </c>
    </row>
    <row r="1121" spans="1:7" hidden="1" x14ac:dyDescent="0.2">
      <c r="A1121" t="str">
        <f t="shared" si="21"/>
        <v>SCM BlockedBanco de Dados (PL/SQL)ASimplesSimples</v>
      </c>
      <c r="B1121" s="229" t="s">
        <v>234</v>
      </c>
      <c r="C1121" s="229" t="s">
        <v>203</v>
      </c>
      <c r="D1121" s="229" t="s">
        <v>25</v>
      </c>
      <c r="E1121" s="229" t="s">
        <v>26</v>
      </c>
      <c r="F1121" s="229" t="s">
        <v>26</v>
      </c>
      <c r="G1121">
        <v>3</v>
      </c>
    </row>
    <row r="1122" spans="1:7" hidden="1" x14ac:dyDescent="0.2">
      <c r="A1122" t="str">
        <f t="shared" si="21"/>
        <v>SCM BlockedBanco de Dados (PL/SQL)ASimplesMédio</v>
      </c>
      <c r="B1122" s="229" t="s">
        <v>234</v>
      </c>
      <c r="C1122" s="229" t="s">
        <v>203</v>
      </c>
      <c r="D1122" s="229" t="s">
        <v>25</v>
      </c>
      <c r="E1122" s="229" t="s">
        <v>26</v>
      </c>
      <c r="F1122" s="229" t="s">
        <v>75</v>
      </c>
      <c r="G1122">
        <v>5</v>
      </c>
    </row>
    <row r="1123" spans="1:7" hidden="1" x14ac:dyDescent="0.2">
      <c r="A1123" t="str">
        <f t="shared" si="21"/>
        <v>SCM BlockedBanco de Dados (PL/SQL)ASimplesComplexo</v>
      </c>
      <c r="B1123" s="229" t="s">
        <v>234</v>
      </c>
      <c r="C1123" s="229" t="s">
        <v>203</v>
      </c>
      <c r="D1123" s="229" t="s">
        <v>25</v>
      </c>
      <c r="E1123" s="229" t="s">
        <v>26</v>
      </c>
      <c r="F1123" s="229" t="s">
        <v>76</v>
      </c>
      <c r="G1123">
        <v>7</v>
      </c>
    </row>
    <row r="1124" spans="1:7" hidden="1" x14ac:dyDescent="0.2">
      <c r="A1124" t="str">
        <f t="shared" si="21"/>
        <v>SCM BlockedBanco de Dados (PL/SQL)AMédioSimples</v>
      </c>
      <c r="B1124" s="229" t="s">
        <v>234</v>
      </c>
      <c r="C1124" s="229" t="s">
        <v>203</v>
      </c>
      <c r="D1124" s="229" t="s">
        <v>25</v>
      </c>
      <c r="E1124" s="229" t="s">
        <v>75</v>
      </c>
      <c r="F1124" s="229" t="s">
        <v>26</v>
      </c>
      <c r="G1124">
        <v>5</v>
      </c>
    </row>
    <row r="1125" spans="1:7" hidden="1" x14ac:dyDescent="0.2">
      <c r="A1125" t="str">
        <f t="shared" si="21"/>
        <v>SCM BlockedBanco de Dados (PL/SQL)AMédioMédio</v>
      </c>
      <c r="B1125" s="229" t="s">
        <v>234</v>
      </c>
      <c r="C1125" s="229" t="s">
        <v>203</v>
      </c>
      <c r="D1125" s="229" t="s">
        <v>25</v>
      </c>
      <c r="E1125" s="229" t="s">
        <v>75</v>
      </c>
      <c r="F1125" s="229" t="s">
        <v>75</v>
      </c>
      <c r="G1125">
        <v>7</v>
      </c>
    </row>
    <row r="1126" spans="1:7" hidden="1" x14ac:dyDescent="0.2">
      <c r="A1126" t="str">
        <f t="shared" si="21"/>
        <v>SCM BlockedBanco de Dados (PL/SQL)AMédioComplexo</v>
      </c>
      <c r="B1126" s="229" t="s">
        <v>234</v>
      </c>
      <c r="C1126" s="229" t="s">
        <v>203</v>
      </c>
      <c r="D1126" s="229" t="s">
        <v>25</v>
      </c>
      <c r="E1126" s="229" t="s">
        <v>75</v>
      </c>
      <c r="F1126" s="229" t="s">
        <v>76</v>
      </c>
      <c r="G1126">
        <v>10</v>
      </c>
    </row>
    <row r="1127" spans="1:7" hidden="1" x14ac:dyDescent="0.2">
      <c r="A1127" t="str">
        <f t="shared" si="21"/>
        <v>SCM BlockedBanco de Dados (PL/SQL)AComplexoSimples</v>
      </c>
      <c r="B1127" s="229" t="s">
        <v>234</v>
      </c>
      <c r="C1127" s="229" t="s">
        <v>203</v>
      </c>
      <c r="D1127" s="229" t="s">
        <v>25</v>
      </c>
      <c r="E1127" s="229" t="s">
        <v>76</v>
      </c>
      <c r="F1127" s="229" t="s">
        <v>26</v>
      </c>
      <c r="G1127">
        <v>8</v>
      </c>
    </row>
    <row r="1128" spans="1:7" hidden="1" x14ac:dyDescent="0.2">
      <c r="A1128" t="str">
        <f t="shared" si="21"/>
        <v>SCM BlockedBanco de Dados (PL/SQL)AComplexoMédio</v>
      </c>
      <c r="B1128" s="229" t="s">
        <v>234</v>
      </c>
      <c r="C1128" s="229" t="s">
        <v>203</v>
      </c>
      <c r="D1128" s="229" t="s">
        <v>25</v>
      </c>
      <c r="E1128" s="229" t="s">
        <v>76</v>
      </c>
      <c r="F1128" s="229" t="s">
        <v>75</v>
      </c>
      <c r="G1128">
        <v>10</v>
      </c>
    </row>
    <row r="1129" spans="1:7" hidden="1" x14ac:dyDescent="0.2">
      <c r="A1129" t="str">
        <f t="shared" si="21"/>
        <v>SCM BlockedBanco de Dados (PL/SQL)AComplexoComplexo</v>
      </c>
      <c r="B1129" s="229" t="s">
        <v>234</v>
      </c>
      <c r="C1129" s="229" t="s">
        <v>203</v>
      </c>
      <c r="D1129" s="229" t="s">
        <v>25</v>
      </c>
      <c r="E1129" s="229" t="s">
        <v>76</v>
      </c>
      <c r="F1129" s="229" t="s">
        <v>76</v>
      </c>
      <c r="G1129">
        <v>13</v>
      </c>
    </row>
    <row r="1130" spans="1:7" hidden="1" x14ac:dyDescent="0.2">
      <c r="A1130" t="str">
        <f t="shared" si="21"/>
        <v>SCM BlockedJAVA: Interface WebServiceNSimples</v>
      </c>
      <c r="B1130" s="229" t="s">
        <v>234</v>
      </c>
      <c r="C1130" s="229" t="s">
        <v>204</v>
      </c>
      <c r="D1130" s="229" t="s">
        <v>24</v>
      </c>
      <c r="E1130" s="229" t="s">
        <v>26</v>
      </c>
      <c r="F1130" s="229"/>
      <c r="G1130">
        <v>4</v>
      </c>
    </row>
    <row r="1131" spans="1:7" hidden="1" x14ac:dyDescent="0.2">
      <c r="A1131" t="str">
        <f t="shared" si="21"/>
        <v>SCM BlockedJAVA: Interface WebServiceNMédio</v>
      </c>
      <c r="B1131" s="229" t="s">
        <v>234</v>
      </c>
      <c r="C1131" s="229" t="s">
        <v>204</v>
      </c>
      <c r="D1131" s="229" t="s">
        <v>24</v>
      </c>
      <c r="E1131" s="229" t="s">
        <v>75</v>
      </c>
      <c r="F1131" s="229"/>
      <c r="G1131">
        <v>6</v>
      </c>
    </row>
    <row r="1132" spans="1:7" hidden="1" x14ac:dyDescent="0.2">
      <c r="A1132" t="str">
        <f t="shared" si="21"/>
        <v>SCM BlockedJAVA: Interface WebServiceNComplexo</v>
      </c>
      <c r="B1132" s="229" t="s">
        <v>234</v>
      </c>
      <c r="C1132" s="229" t="s">
        <v>204</v>
      </c>
      <c r="D1132" s="229" t="s">
        <v>24</v>
      </c>
      <c r="E1132" s="229" t="s">
        <v>76</v>
      </c>
      <c r="F1132" s="229"/>
      <c r="G1132">
        <v>9</v>
      </c>
    </row>
    <row r="1133" spans="1:7" hidden="1" x14ac:dyDescent="0.2">
      <c r="A1133" t="str">
        <f t="shared" si="21"/>
        <v>SCM BlockedJAVA: Interface WebServiceASimplesSimples</v>
      </c>
      <c r="B1133" s="229" t="s">
        <v>234</v>
      </c>
      <c r="C1133" s="229" t="s">
        <v>204</v>
      </c>
      <c r="D1133" s="229" t="s">
        <v>25</v>
      </c>
      <c r="E1133" s="229" t="s">
        <v>26</v>
      </c>
      <c r="F1133" s="229" t="s">
        <v>26</v>
      </c>
      <c r="G1133">
        <v>3</v>
      </c>
    </row>
    <row r="1134" spans="1:7" hidden="1" x14ac:dyDescent="0.2">
      <c r="A1134" t="str">
        <f t="shared" si="21"/>
        <v>SCM BlockedJAVA: Interface WebServiceASimplesMédio</v>
      </c>
      <c r="B1134" s="229" t="s">
        <v>234</v>
      </c>
      <c r="C1134" s="229" t="s">
        <v>204</v>
      </c>
      <c r="D1134" s="229" t="s">
        <v>25</v>
      </c>
      <c r="E1134" s="229" t="s">
        <v>26</v>
      </c>
      <c r="F1134" s="229" t="s">
        <v>75</v>
      </c>
      <c r="G1134">
        <v>4</v>
      </c>
    </row>
    <row r="1135" spans="1:7" hidden="1" x14ac:dyDescent="0.2">
      <c r="A1135" t="str">
        <f t="shared" si="21"/>
        <v>SCM BlockedJAVA: Interface WebServiceASimplesComplexo</v>
      </c>
      <c r="B1135" s="229" t="s">
        <v>234</v>
      </c>
      <c r="C1135" s="229" t="s">
        <v>204</v>
      </c>
      <c r="D1135" s="229" t="s">
        <v>25</v>
      </c>
      <c r="E1135" s="229" t="s">
        <v>26</v>
      </c>
      <c r="F1135" s="229" t="s">
        <v>76</v>
      </c>
      <c r="G1135">
        <v>5</v>
      </c>
    </row>
    <row r="1136" spans="1:7" hidden="1" x14ac:dyDescent="0.2">
      <c r="A1136" t="str">
        <f t="shared" si="21"/>
        <v>SCM BlockedJAVA: Interface WebServiceAMédioSimples</v>
      </c>
      <c r="B1136" s="229" t="s">
        <v>234</v>
      </c>
      <c r="C1136" s="229" t="s">
        <v>204</v>
      </c>
      <c r="D1136" s="229" t="s">
        <v>25</v>
      </c>
      <c r="E1136" s="229" t="s">
        <v>75</v>
      </c>
      <c r="F1136" s="229" t="s">
        <v>26</v>
      </c>
      <c r="G1136">
        <v>3</v>
      </c>
    </row>
    <row r="1137" spans="1:7" hidden="1" x14ac:dyDescent="0.2">
      <c r="A1137" t="str">
        <f t="shared" si="21"/>
        <v>SCM BlockedJAVA: Interface WebServiceAMédioMédio</v>
      </c>
      <c r="B1137" s="229" t="s">
        <v>234</v>
      </c>
      <c r="C1137" s="229" t="s">
        <v>204</v>
      </c>
      <c r="D1137" s="229" t="s">
        <v>25</v>
      </c>
      <c r="E1137" s="229" t="s">
        <v>75</v>
      </c>
      <c r="F1137" s="229" t="s">
        <v>75</v>
      </c>
      <c r="G1137">
        <v>6</v>
      </c>
    </row>
    <row r="1138" spans="1:7" hidden="1" x14ac:dyDescent="0.2">
      <c r="A1138" t="str">
        <f t="shared" si="21"/>
        <v>SCM BlockedJAVA: Interface WebServiceAMédioComplexo</v>
      </c>
      <c r="B1138" s="229" t="s">
        <v>234</v>
      </c>
      <c r="C1138" s="229" t="s">
        <v>204</v>
      </c>
      <c r="D1138" s="229" t="s">
        <v>25</v>
      </c>
      <c r="E1138" s="229" t="s">
        <v>75</v>
      </c>
      <c r="F1138" s="229" t="s">
        <v>76</v>
      </c>
      <c r="G1138">
        <v>9</v>
      </c>
    </row>
    <row r="1139" spans="1:7" hidden="1" x14ac:dyDescent="0.2">
      <c r="A1139" t="str">
        <f t="shared" si="21"/>
        <v>SCM BlockedJAVA: Interface WebServiceAComplexoSimples</v>
      </c>
      <c r="B1139" s="229" t="s">
        <v>234</v>
      </c>
      <c r="C1139" s="229" t="s">
        <v>204</v>
      </c>
      <c r="D1139" s="229" t="s">
        <v>25</v>
      </c>
      <c r="E1139" s="229" t="s">
        <v>76</v>
      </c>
      <c r="F1139" s="229" t="s">
        <v>26</v>
      </c>
      <c r="G1139">
        <v>6</v>
      </c>
    </row>
    <row r="1140" spans="1:7" hidden="1" x14ac:dyDescent="0.2">
      <c r="A1140" t="str">
        <f t="shared" si="21"/>
        <v>SCM BlockedJAVA: Interface WebServiceAComplexoMédio</v>
      </c>
      <c r="B1140" s="229" t="s">
        <v>234</v>
      </c>
      <c r="C1140" s="229" t="s">
        <v>204</v>
      </c>
      <c r="D1140" s="229" t="s">
        <v>25</v>
      </c>
      <c r="E1140" s="229" t="s">
        <v>76</v>
      </c>
      <c r="F1140" s="229" t="s">
        <v>75</v>
      </c>
      <c r="G1140">
        <v>8</v>
      </c>
    </row>
    <row r="1141" spans="1:7" hidden="1" x14ac:dyDescent="0.2">
      <c r="A1141" t="str">
        <f t="shared" si="21"/>
        <v>SCM BlockedJAVA: Interface WebServiceAComplexoComplexo</v>
      </c>
      <c r="B1141" s="229" t="s">
        <v>234</v>
      </c>
      <c r="C1141" s="229" t="s">
        <v>204</v>
      </c>
      <c r="D1141" s="229" t="s">
        <v>25</v>
      </c>
      <c r="E1141" s="229" t="s">
        <v>76</v>
      </c>
      <c r="F1141" s="229" t="s">
        <v>76</v>
      </c>
      <c r="G1141">
        <v>10</v>
      </c>
    </row>
    <row r="1142" spans="1:7" hidden="1" x14ac:dyDescent="0.2">
      <c r="A1142" t="str">
        <f t="shared" si="21"/>
        <v>SCM BlockedJAVA: Transformação de ObjetosNSimples</v>
      </c>
      <c r="B1142" s="229" t="s">
        <v>234</v>
      </c>
      <c r="C1142" s="229" t="s">
        <v>205</v>
      </c>
      <c r="D1142" s="229" t="s">
        <v>24</v>
      </c>
      <c r="E1142" s="229" t="s">
        <v>26</v>
      </c>
      <c r="F1142" s="229"/>
      <c r="G1142">
        <v>2</v>
      </c>
    </row>
    <row r="1143" spans="1:7" hidden="1" x14ac:dyDescent="0.2">
      <c r="A1143" t="str">
        <f t="shared" si="21"/>
        <v>SCM BlockedJAVA: Transformação de ObjetosNMédio</v>
      </c>
      <c r="B1143" s="229" t="s">
        <v>234</v>
      </c>
      <c r="C1143" s="229" t="s">
        <v>205</v>
      </c>
      <c r="D1143" s="229" t="s">
        <v>24</v>
      </c>
      <c r="E1143" s="229" t="s">
        <v>75</v>
      </c>
      <c r="F1143" s="229"/>
      <c r="G1143">
        <v>4</v>
      </c>
    </row>
    <row r="1144" spans="1:7" hidden="1" x14ac:dyDescent="0.2">
      <c r="A1144" t="str">
        <f t="shared" si="21"/>
        <v>SCM BlockedJAVA: Transformação de ObjetosNComplexo</v>
      </c>
      <c r="B1144" s="229" t="s">
        <v>234</v>
      </c>
      <c r="C1144" s="229" t="s">
        <v>205</v>
      </c>
      <c r="D1144" s="229" t="s">
        <v>24</v>
      </c>
      <c r="E1144" s="229" t="s">
        <v>76</v>
      </c>
      <c r="F1144" s="229"/>
      <c r="G1144">
        <v>6</v>
      </c>
    </row>
    <row r="1145" spans="1:7" hidden="1" x14ac:dyDescent="0.2">
      <c r="A1145" t="str">
        <f t="shared" si="21"/>
        <v>SCM BlockedJAVA: Transformação de ObjetosASimplesSimples</v>
      </c>
      <c r="B1145" s="229" t="s">
        <v>234</v>
      </c>
      <c r="C1145" s="229" t="s">
        <v>205</v>
      </c>
      <c r="D1145" s="229" t="s">
        <v>25</v>
      </c>
      <c r="E1145" s="229" t="s">
        <v>26</v>
      </c>
      <c r="F1145" s="229" t="s">
        <v>26</v>
      </c>
      <c r="G1145">
        <v>2</v>
      </c>
    </row>
    <row r="1146" spans="1:7" hidden="1" x14ac:dyDescent="0.2">
      <c r="A1146" t="str">
        <f t="shared" si="21"/>
        <v>SCM BlockedJAVA: Transformação de ObjetosASimplesMédio</v>
      </c>
      <c r="B1146" s="229" t="s">
        <v>234</v>
      </c>
      <c r="C1146" s="229" t="s">
        <v>205</v>
      </c>
      <c r="D1146" s="229" t="s">
        <v>25</v>
      </c>
      <c r="E1146" s="229" t="s">
        <v>26</v>
      </c>
      <c r="F1146" s="229" t="s">
        <v>75</v>
      </c>
      <c r="G1146">
        <v>3</v>
      </c>
    </row>
    <row r="1147" spans="1:7" hidden="1" x14ac:dyDescent="0.2">
      <c r="A1147" t="str">
        <f t="shared" si="21"/>
        <v>SCM BlockedJAVA: Transformação de ObjetosASimplesComplexo</v>
      </c>
      <c r="B1147" s="229" t="s">
        <v>234</v>
      </c>
      <c r="C1147" s="229" t="s">
        <v>205</v>
      </c>
      <c r="D1147" s="229" t="s">
        <v>25</v>
      </c>
      <c r="E1147" s="229" t="s">
        <v>26</v>
      </c>
      <c r="F1147" s="229" t="s">
        <v>76</v>
      </c>
      <c r="G1147">
        <v>5</v>
      </c>
    </row>
    <row r="1148" spans="1:7" hidden="1" x14ac:dyDescent="0.2">
      <c r="A1148" t="str">
        <f t="shared" si="21"/>
        <v>SCM BlockedJAVA: Transformação de ObjetosAMédioSimples</v>
      </c>
      <c r="B1148" s="229" t="s">
        <v>234</v>
      </c>
      <c r="C1148" s="229" t="s">
        <v>205</v>
      </c>
      <c r="D1148" s="229" t="s">
        <v>25</v>
      </c>
      <c r="E1148" s="229" t="s">
        <v>75</v>
      </c>
      <c r="F1148" s="229" t="s">
        <v>26</v>
      </c>
      <c r="G1148">
        <v>4</v>
      </c>
    </row>
    <row r="1149" spans="1:7" hidden="1" x14ac:dyDescent="0.2">
      <c r="A1149" t="str">
        <f t="shared" si="21"/>
        <v>SCM BlockedJAVA: Transformação de ObjetosAMédioMédio</v>
      </c>
      <c r="B1149" s="229" t="s">
        <v>234</v>
      </c>
      <c r="C1149" s="229" t="s">
        <v>205</v>
      </c>
      <c r="D1149" s="229" t="s">
        <v>25</v>
      </c>
      <c r="E1149" s="229" t="s">
        <v>75</v>
      </c>
      <c r="F1149" s="229" t="s">
        <v>75</v>
      </c>
      <c r="G1149">
        <v>6</v>
      </c>
    </row>
    <row r="1150" spans="1:7" hidden="1" x14ac:dyDescent="0.2">
      <c r="A1150" t="str">
        <f t="shared" si="21"/>
        <v>SCM BlockedJAVA: Transformação de ObjetosAMédioComplexo</v>
      </c>
      <c r="B1150" s="229" t="s">
        <v>234</v>
      </c>
      <c r="C1150" s="229" t="s">
        <v>205</v>
      </c>
      <c r="D1150" s="229" t="s">
        <v>25</v>
      </c>
      <c r="E1150" s="229" t="s">
        <v>75</v>
      </c>
      <c r="F1150" s="229" t="s">
        <v>76</v>
      </c>
      <c r="G1150">
        <v>7</v>
      </c>
    </row>
    <row r="1151" spans="1:7" hidden="1" x14ac:dyDescent="0.2">
      <c r="A1151" t="str">
        <f t="shared" si="21"/>
        <v>SCM BlockedJAVA: Transformação de ObjetosAComplexoSimples</v>
      </c>
      <c r="B1151" s="229" t="s">
        <v>234</v>
      </c>
      <c r="C1151" s="229" t="s">
        <v>205</v>
      </c>
      <c r="D1151" s="229" t="s">
        <v>25</v>
      </c>
      <c r="E1151" s="229" t="s">
        <v>76</v>
      </c>
      <c r="F1151" s="229" t="s">
        <v>26</v>
      </c>
      <c r="G1151">
        <v>5</v>
      </c>
    </row>
    <row r="1152" spans="1:7" hidden="1" x14ac:dyDescent="0.2">
      <c r="A1152" t="str">
        <f t="shared" si="21"/>
        <v>SCM BlockedJAVA: Transformação de ObjetosAComplexoMédio</v>
      </c>
      <c r="B1152" s="229" t="s">
        <v>234</v>
      </c>
      <c r="C1152" s="229" t="s">
        <v>205</v>
      </c>
      <c r="D1152" s="229" t="s">
        <v>25</v>
      </c>
      <c r="E1152" s="229" t="s">
        <v>76</v>
      </c>
      <c r="F1152" s="229" t="s">
        <v>75</v>
      </c>
      <c r="G1152">
        <v>7</v>
      </c>
    </row>
    <row r="1153" spans="1:7" hidden="1" x14ac:dyDescent="0.2">
      <c r="A1153" t="str">
        <f t="shared" ref="A1153:A1216" si="22">B1153&amp;C1153&amp;D1153&amp;E1153&amp;F1153</f>
        <v>SCM BlockedJAVA: Transformação de ObjetosAComplexoComplexo</v>
      </c>
      <c r="B1153" s="229" t="s">
        <v>234</v>
      </c>
      <c r="C1153" s="229" t="s">
        <v>205</v>
      </c>
      <c r="D1153" s="229" t="s">
        <v>25</v>
      </c>
      <c r="E1153" s="229" t="s">
        <v>76</v>
      </c>
      <c r="F1153" s="229" t="s">
        <v>76</v>
      </c>
      <c r="G1153">
        <v>9</v>
      </c>
    </row>
    <row r="1154" spans="1:7" hidden="1" x14ac:dyDescent="0.2">
      <c r="A1154" t="str">
        <f t="shared" si="22"/>
        <v>SCM BlockedJAVA: Métodos de Negócio (Controller)NSimples</v>
      </c>
      <c r="B1154" s="229" t="s">
        <v>234</v>
      </c>
      <c r="C1154" s="229" t="s">
        <v>206</v>
      </c>
      <c r="D1154" s="229" t="s">
        <v>24</v>
      </c>
      <c r="E1154" s="229" t="s">
        <v>26</v>
      </c>
      <c r="F1154" s="229"/>
      <c r="G1154">
        <v>9</v>
      </c>
    </row>
    <row r="1155" spans="1:7" hidden="1" x14ac:dyDescent="0.2">
      <c r="A1155" t="str">
        <f t="shared" si="22"/>
        <v>SCM BlockedJAVA: Métodos de Negócio (Controller)NMédio</v>
      </c>
      <c r="B1155" s="229" t="s">
        <v>234</v>
      </c>
      <c r="C1155" s="229" t="s">
        <v>206</v>
      </c>
      <c r="D1155" s="229" t="s">
        <v>24</v>
      </c>
      <c r="E1155" s="229" t="s">
        <v>75</v>
      </c>
      <c r="F1155" s="229"/>
      <c r="G1155">
        <v>17</v>
      </c>
    </row>
    <row r="1156" spans="1:7" hidden="1" x14ac:dyDescent="0.2">
      <c r="A1156" t="str">
        <f t="shared" si="22"/>
        <v>SCM BlockedJAVA: Métodos de Negócio (Controller)NComplexo</v>
      </c>
      <c r="B1156" s="229" t="s">
        <v>234</v>
      </c>
      <c r="C1156" s="229" t="s">
        <v>206</v>
      </c>
      <c r="D1156" s="229" t="s">
        <v>24</v>
      </c>
      <c r="E1156" s="229" t="s">
        <v>76</v>
      </c>
      <c r="F1156" s="229"/>
      <c r="G1156">
        <v>25</v>
      </c>
    </row>
    <row r="1157" spans="1:7" hidden="1" x14ac:dyDescent="0.2">
      <c r="A1157" t="str">
        <f t="shared" si="22"/>
        <v>SCM BlockedJAVA: Métodos de Negócio (Controller)ASimplesSimples</v>
      </c>
      <c r="B1157" s="229" t="s">
        <v>234</v>
      </c>
      <c r="C1157" s="229" t="s">
        <v>206</v>
      </c>
      <c r="D1157" s="229" t="s">
        <v>25</v>
      </c>
      <c r="E1157" s="229" t="s">
        <v>26</v>
      </c>
      <c r="F1157" s="229" t="s">
        <v>26</v>
      </c>
      <c r="G1157">
        <v>4</v>
      </c>
    </row>
    <row r="1158" spans="1:7" hidden="1" x14ac:dyDescent="0.2">
      <c r="A1158" t="str">
        <f t="shared" si="22"/>
        <v>SCM BlockedJAVA: Métodos de Negócio (Controller)ASimplesMédio</v>
      </c>
      <c r="B1158" s="229" t="s">
        <v>234</v>
      </c>
      <c r="C1158" s="229" t="s">
        <v>206</v>
      </c>
      <c r="D1158" s="229" t="s">
        <v>25</v>
      </c>
      <c r="E1158" s="229" t="s">
        <v>26</v>
      </c>
      <c r="F1158" s="229" t="s">
        <v>75</v>
      </c>
      <c r="G1158">
        <v>6</v>
      </c>
    </row>
    <row r="1159" spans="1:7" hidden="1" x14ac:dyDescent="0.2">
      <c r="A1159" t="str">
        <f t="shared" si="22"/>
        <v>SCM BlockedJAVA: Métodos de Negócio (Controller)ASimplesComplexo</v>
      </c>
      <c r="B1159" s="229" t="s">
        <v>234</v>
      </c>
      <c r="C1159" s="229" t="s">
        <v>206</v>
      </c>
      <c r="D1159" s="229" t="s">
        <v>25</v>
      </c>
      <c r="E1159" s="229" t="s">
        <v>26</v>
      </c>
      <c r="F1159" s="229" t="s">
        <v>76</v>
      </c>
      <c r="G1159">
        <v>8</v>
      </c>
    </row>
    <row r="1160" spans="1:7" hidden="1" x14ac:dyDescent="0.2">
      <c r="A1160" t="str">
        <f t="shared" si="22"/>
        <v>SCM BlockedJAVA: Métodos de Negócio (Controller)AMédioSimples</v>
      </c>
      <c r="B1160" s="229" t="s">
        <v>234</v>
      </c>
      <c r="C1160" s="229" t="s">
        <v>206</v>
      </c>
      <c r="D1160" s="229" t="s">
        <v>25</v>
      </c>
      <c r="E1160" s="229" t="s">
        <v>75</v>
      </c>
      <c r="F1160" s="229" t="s">
        <v>26</v>
      </c>
      <c r="G1160" s="229">
        <v>9</v>
      </c>
    </row>
    <row r="1161" spans="1:7" hidden="1" x14ac:dyDescent="0.2">
      <c r="A1161" t="str">
        <f t="shared" si="22"/>
        <v>SCM BlockedJAVA: Métodos de Negócio (Controller)AMédioMédio</v>
      </c>
      <c r="B1161" s="229" t="s">
        <v>234</v>
      </c>
      <c r="C1161" s="229" t="s">
        <v>206</v>
      </c>
      <c r="D1161" s="229" t="s">
        <v>25</v>
      </c>
      <c r="E1161" s="229" t="s">
        <v>75</v>
      </c>
      <c r="F1161" s="229" t="s">
        <v>75</v>
      </c>
      <c r="G1161">
        <v>11</v>
      </c>
    </row>
    <row r="1162" spans="1:7" hidden="1" x14ac:dyDescent="0.2">
      <c r="A1162" t="str">
        <f t="shared" si="22"/>
        <v>SCM BlockedJAVA: Métodos de Negócio (Controller)AMédioComplexo</v>
      </c>
      <c r="B1162" s="229" t="s">
        <v>234</v>
      </c>
      <c r="C1162" s="229" t="s">
        <v>206</v>
      </c>
      <c r="D1162" s="229" t="s">
        <v>25</v>
      </c>
      <c r="E1162" s="229" t="s">
        <v>75</v>
      </c>
      <c r="F1162" s="229" t="s">
        <v>76</v>
      </c>
      <c r="G1162">
        <v>15</v>
      </c>
    </row>
    <row r="1163" spans="1:7" hidden="1" x14ac:dyDescent="0.2">
      <c r="A1163" t="str">
        <f t="shared" si="22"/>
        <v>SCM BlockedJAVA: Métodos de Negócio (Controller)AComplexoSimples</v>
      </c>
      <c r="B1163" s="229" t="s">
        <v>234</v>
      </c>
      <c r="C1163" s="229" t="s">
        <v>206</v>
      </c>
      <c r="D1163" s="229" t="s">
        <v>25</v>
      </c>
      <c r="E1163" s="229" t="s">
        <v>76</v>
      </c>
      <c r="F1163" s="229" t="s">
        <v>26</v>
      </c>
      <c r="G1163">
        <v>7</v>
      </c>
    </row>
    <row r="1164" spans="1:7" hidden="1" x14ac:dyDescent="0.2">
      <c r="A1164" t="str">
        <f t="shared" si="22"/>
        <v>SCM BlockedJAVA: Métodos de Negócio (Controller)AComplexoMédio</v>
      </c>
      <c r="B1164" s="229" t="s">
        <v>234</v>
      </c>
      <c r="C1164" s="229" t="s">
        <v>206</v>
      </c>
      <c r="D1164" s="229" t="s">
        <v>25</v>
      </c>
      <c r="E1164" s="229" t="s">
        <v>76</v>
      </c>
      <c r="F1164" s="229" t="s">
        <v>75</v>
      </c>
      <c r="G1164">
        <v>11</v>
      </c>
    </row>
    <row r="1165" spans="1:7" hidden="1" x14ac:dyDescent="0.2">
      <c r="A1165" t="str">
        <f t="shared" si="22"/>
        <v>SCM BlockedJAVA: Métodos de Negócio (Controller)AComplexoComplexo</v>
      </c>
      <c r="B1165" s="229" t="s">
        <v>234</v>
      </c>
      <c r="C1165" s="229" t="s">
        <v>206</v>
      </c>
      <c r="D1165" s="229" t="s">
        <v>25</v>
      </c>
      <c r="E1165" s="229" t="s">
        <v>76</v>
      </c>
      <c r="F1165" s="229" t="s">
        <v>76</v>
      </c>
      <c r="G1165">
        <v>17</v>
      </c>
    </row>
    <row r="1166" spans="1:7" hidden="1" x14ac:dyDescent="0.2">
      <c r="A1166" t="str">
        <f t="shared" si="22"/>
        <v>SCM BlockedJAVA: EntityNSimples</v>
      </c>
      <c r="B1166" s="229" t="s">
        <v>234</v>
      </c>
      <c r="C1166" s="229" t="s">
        <v>207</v>
      </c>
      <c r="D1166" s="229" t="s">
        <v>24</v>
      </c>
      <c r="E1166" s="229" t="s">
        <v>26</v>
      </c>
      <c r="F1166" s="229"/>
      <c r="G1166">
        <v>2</v>
      </c>
    </row>
    <row r="1167" spans="1:7" hidden="1" x14ac:dyDescent="0.2">
      <c r="A1167" t="str">
        <f t="shared" si="22"/>
        <v>SCM BlockedJAVA: EntityNMédio</v>
      </c>
      <c r="B1167" s="229" t="s">
        <v>234</v>
      </c>
      <c r="C1167" s="229" t="s">
        <v>207</v>
      </c>
      <c r="D1167" s="229" t="s">
        <v>24</v>
      </c>
      <c r="E1167" s="229" t="s">
        <v>75</v>
      </c>
      <c r="F1167" s="229"/>
      <c r="G1167">
        <v>3</v>
      </c>
    </row>
    <row r="1168" spans="1:7" hidden="1" x14ac:dyDescent="0.2">
      <c r="A1168" t="str">
        <f t="shared" si="22"/>
        <v>SCM BlockedJAVA: EntityNComplexo</v>
      </c>
      <c r="B1168" s="229" t="s">
        <v>234</v>
      </c>
      <c r="C1168" s="229" t="s">
        <v>207</v>
      </c>
      <c r="D1168" s="229" t="s">
        <v>24</v>
      </c>
      <c r="E1168" s="229" t="s">
        <v>76</v>
      </c>
      <c r="F1168" s="229"/>
      <c r="G1168">
        <v>5</v>
      </c>
    </row>
    <row r="1169" spans="1:7" hidden="1" x14ac:dyDescent="0.2">
      <c r="A1169" t="str">
        <f t="shared" si="22"/>
        <v>SCM BlockedJAVA: EntityASimplesSimples</v>
      </c>
      <c r="B1169" s="229" t="s">
        <v>234</v>
      </c>
      <c r="C1169" s="229" t="s">
        <v>207</v>
      </c>
      <c r="D1169" s="229" t="s">
        <v>25</v>
      </c>
      <c r="E1169" s="229" t="s">
        <v>26</v>
      </c>
      <c r="F1169" s="229" t="s">
        <v>26</v>
      </c>
      <c r="G1169">
        <v>2</v>
      </c>
    </row>
    <row r="1170" spans="1:7" hidden="1" x14ac:dyDescent="0.2">
      <c r="A1170" t="str">
        <f t="shared" si="22"/>
        <v>SCM BlockedJAVA: EntityASimplesMédio</v>
      </c>
      <c r="B1170" s="229" t="s">
        <v>234</v>
      </c>
      <c r="C1170" s="229" t="s">
        <v>207</v>
      </c>
      <c r="D1170" s="229" t="s">
        <v>25</v>
      </c>
      <c r="E1170" s="229" t="s">
        <v>26</v>
      </c>
      <c r="F1170" s="229" t="s">
        <v>75</v>
      </c>
      <c r="G1170">
        <v>3</v>
      </c>
    </row>
    <row r="1171" spans="1:7" hidden="1" x14ac:dyDescent="0.2">
      <c r="A1171" t="str">
        <f t="shared" si="22"/>
        <v>SCM BlockedJAVA: EntityASimplesComplexo</v>
      </c>
      <c r="B1171" s="229" t="s">
        <v>234</v>
      </c>
      <c r="C1171" s="229" t="s">
        <v>207</v>
      </c>
      <c r="D1171" s="229" t="s">
        <v>25</v>
      </c>
      <c r="E1171" s="229" t="s">
        <v>26</v>
      </c>
      <c r="F1171" s="229" t="s">
        <v>76</v>
      </c>
      <c r="G1171">
        <v>4</v>
      </c>
    </row>
    <row r="1172" spans="1:7" hidden="1" x14ac:dyDescent="0.2">
      <c r="A1172" t="str">
        <f t="shared" si="22"/>
        <v>SCM BlockedJAVA: EntityAMédioSimples</v>
      </c>
      <c r="B1172" s="229" t="s">
        <v>234</v>
      </c>
      <c r="C1172" s="229" t="s">
        <v>207</v>
      </c>
      <c r="D1172" s="229" t="s">
        <v>25</v>
      </c>
      <c r="E1172" s="229" t="s">
        <v>75</v>
      </c>
      <c r="F1172" s="229" t="s">
        <v>26</v>
      </c>
      <c r="G1172">
        <v>3</v>
      </c>
    </row>
    <row r="1173" spans="1:7" hidden="1" x14ac:dyDescent="0.2">
      <c r="A1173" t="str">
        <f t="shared" si="22"/>
        <v>SCM BlockedJAVA: EntityAMédioMédio</v>
      </c>
      <c r="B1173" s="229" t="s">
        <v>234</v>
      </c>
      <c r="C1173" s="229" t="s">
        <v>207</v>
      </c>
      <c r="D1173" s="229" t="s">
        <v>25</v>
      </c>
      <c r="E1173" s="229" t="s">
        <v>75</v>
      </c>
      <c r="F1173" s="229" t="s">
        <v>75</v>
      </c>
      <c r="G1173">
        <v>4</v>
      </c>
    </row>
    <row r="1174" spans="1:7" hidden="1" x14ac:dyDescent="0.2">
      <c r="A1174" t="str">
        <f t="shared" si="22"/>
        <v>SCM BlockedJAVA: EntityAMédioComplexo</v>
      </c>
      <c r="B1174" s="229" t="s">
        <v>234</v>
      </c>
      <c r="C1174" s="229" t="s">
        <v>207</v>
      </c>
      <c r="D1174" s="229" t="s">
        <v>25</v>
      </c>
      <c r="E1174" s="229" t="s">
        <v>75</v>
      </c>
      <c r="F1174" s="229" t="s">
        <v>76</v>
      </c>
      <c r="G1174">
        <v>5</v>
      </c>
    </row>
    <row r="1175" spans="1:7" hidden="1" x14ac:dyDescent="0.2">
      <c r="A1175" t="str">
        <f t="shared" si="22"/>
        <v>SCM BlockedJAVA: EntityAComplexoSimples</v>
      </c>
      <c r="B1175" s="229" t="s">
        <v>234</v>
      </c>
      <c r="C1175" s="229" t="s">
        <v>207</v>
      </c>
      <c r="D1175" s="229" t="s">
        <v>25</v>
      </c>
      <c r="E1175" s="229" t="s">
        <v>76</v>
      </c>
      <c r="F1175" s="229" t="s">
        <v>26</v>
      </c>
      <c r="G1175">
        <v>4</v>
      </c>
    </row>
    <row r="1176" spans="1:7" hidden="1" x14ac:dyDescent="0.2">
      <c r="A1176" t="str">
        <f t="shared" si="22"/>
        <v>SCM BlockedJAVA: EntityAComplexoMédio</v>
      </c>
      <c r="B1176" s="229" t="s">
        <v>234</v>
      </c>
      <c r="C1176" s="229" t="s">
        <v>207</v>
      </c>
      <c r="D1176" s="229" t="s">
        <v>25</v>
      </c>
      <c r="E1176" s="229" t="s">
        <v>76</v>
      </c>
      <c r="F1176" s="229" t="s">
        <v>75</v>
      </c>
      <c r="G1176">
        <v>6</v>
      </c>
    </row>
    <row r="1177" spans="1:7" hidden="1" x14ac:dyDescent="0.2">
      <c r="A1177" t="str">
        <f t="shared" si="22"/>
        <v>SCM BlockedJAVA: EntityAComplexoComplexo</v>
      </c>
      <c r="B1177" s="229" t="s">
        <v>234</v>
      </c>
      <c r="C1177" s="229" t="s">
        <v>207</v>
      </c>
      <c r="D1177" s="229" t="s">
        <v>25</v>
      </c>
      <c r="E1177" s="229" t="s">
        <v>76</v>
      </c>
      <c r="F1177" s="229" t="s">
        <v>76</v>
      </c>
      <c r="G1177">
        <v>9</v>
      </c>
    </row>
    <row r="1178" spans="1:7" hidden="1" x14ac:dyDescent="0.2">
      <c r="A1178" t="str">
        <f t="shared" si="22"/>
        <v>SCM BlockedConfiguração Projeto/MóduloNSimples</v>
      </c>
      <c r="B1178" s="229" t="s">
        <v>234</v>
      </c>
      <c r="C1178" s="229" t="s">
        <v>221</v>
      </c>
      <c r="D1178" s="229" t="s">
        <v>24</v>
      </c>
      <c r="E1178" s="229" t="s">
        <v>26</v>
      </c>
      <c r="F1178" s="229"/>
      <c r="G1178">
        <v>3</v>
      </c>
    </row>
    <row r="1179" spans="1:7" hidden="1" x14ac:dyDescent="0.2">
      <c r="A1179" t="str">
        <f t="shared" si="22"/>
        <v>SCM BlockedConfiguração Projeto/MóduloNMédio</v>
      </c>
      <c r="B1179" s="229" t="s">
        <v>234</v>
      </c>
      <c r="C1179" s="229" t="s">
        <v>221</v>
      </c>
      <c r="D1179" s="229" t="s">
        <v>24</v>
      </c>
      <c r="E1179" s="229" t="s">
        <v>75</v>
      </c>
      <c r="F1179" s="229"/>
      <c r="G1179">
        <v>5</v>
      </c>
    </row>
    <row r="1180" spans="1:7" hidden="1" x14ac:dyDescent="0.2">
      <c r="A1180" t="str">
        <f t="shared" si="22"/>
        <v>SCM BlockedConfiguração Projeto/MóduloNComplexo</v>
      </c>
      <c r="B1180" s="229" t="s">
        <v>234</v>
      </c>
      <c r="C1180" s="229" t="s">
        <v>221</v>
      </c>
      <c r="D1180" s="229" t="s">
        <v>24</v>
      </c>
      <c r="E1180" s="229" t="s">
        <v>76</v>
      </c>
      <c r="F1180" s="229"/>
      <c r="G1180">
        <v>9</v>
      </c>
    </row>
    <row r="1181" spans="1:7" hidden="1" x14ac:dyDescent="0.2">
      <c r="A1181" t="str">
        <f t="shared" si="22"/>
        <v>SCM BlockedConfiguração Projeto/MóduloASimplesSimples</v>
      </c>
      <c r="B1181" s="229" t="s">
        <v>234</v>
      </c>
      <c r="C1181" s="229" t="s">
        <v>221</v>
      </c>
      <c r="D1181" s="229" t="s">
        <v>25</v>
      </c>
      <c r="E1181" s="229" t="s">
        <v>26</v>
      </c>
      <c r="F1181" s="229" t="s">
        <v>26</v>
      </c>
      <c r="G1181">
        <v>2</v>
      </c>
    </row>
    <row r="1182" spans="1:7" hidden="1" x14ac:dyDescent="0.2">
      <c r="A1182" t="str">
        <f t="shared" si="22"/>
        <v>SCM BlockedConfiguração Projeto/MóduloASimplesMédio</v>
      </c>
      <c r="B1182" s="229" t="s">
        <v>234</v>
      </c>
      <c r="C1182" s="229" t="s">
        <v>221</v>
      </c>
      <c r="D1182" s="229" t="s">
        <v>25</v>
      </c>
      <c r="E1182" s="229" t="s">
        <v>26</v>
      </c>
      <c r="F1182" s="229" t="s">
        <v>75</v>
      </c>
      <c r="G1182">
        <v>3</v>
      </c>
    </row>
    <row r="1183" spans="1:7" hidden="1" x14ac:dyDescent="0.2">
      <c r="A1183" t="str">
        <f t="shared" si="22"/>
        <v>SCM BlockedConfiguração Projeto/MóduloASimplesComplexo</v>
      </c>
      <c r="B1183" s="229" t="s">
        <v>234</v>
      </c>
      <c r="C1183" s="229" t="s">
        <v>221</v>
      </c>
      <c r="D1183" s="229" t="s">
        <v>25</v>
      </c>
      <c r="E1183" s="229" t="s">
        <v>26</v>
      </c>
      <c r="F1183" s="229" t="s">
        <v>76</v>
      </c>
      <c r="G1183">
        <v>5</v>
      </c>
    </row>
    <row r="1184" spans="1:7" hidden="1" x14ac:dyDescent="0.2">
      <c r="A1184" t="str">
        <f t="shared" si="22"/>
        <v>SCM BlockedConfiguração Projeto/MóduloAMédioSimples</v>
      </c>
      <c r="B1184" s="229" t="s">
        <v>234</v>
      </c>
      <c r="C1184" s="229" t="s">
        <v>221</v>
      </c>
      <c r="D1184" s="229" t="s">
        <v>25</v>
      </c>
      <c r="E1184" s="229" t="s">
        <v>75</v>
      </c>
      <c r="F1184" s="229" t="s">
        <v>26</v>
      </c>
      <c r="G1184">
        <v>3</v>
      </c>
    </row>
    <row r="1185" spans="1:7" hidden="1" x14ac:dyDescent="0.2">
      <c r="A1185" t="str">
        <f t="shared" si="22"/>
        <v>SCM BlockedConfiguração Projeto/MóduloAMédioMédio</v>
      </c>
      <c r="B1185" s="229" t="s">
        <v>234</v>
      </c>
      <c r="C1185" s="229" t="s">
        <v>221</v>
      </c>
      <c r="D1185" s="229" t="s">
        <v>25</v>
      </c>
      <c r="E1185" s="229" t="s">
        <v>75</v>
      </c>
      <c r="F1185" s="229" t="s">
        <v>75</v>
      </c>
      <c r="G1185">
        <v>5</v>
      </c>
    </row>
    <row r="1186" spans="1:7" hidden="1" x14ac:dyDescent="0.2">
      <c r="A1186" t="str">
        <f t="shared" si="22"/>
        <v>SCM BlockedConfiguração Projeto/MóduloAMédioComplexo</v>
      </c>
      <c r="B1186" s="229" t="s">
        <v>234</v>
      </c>
      <c r="C1186" s="229" t="s">
        <v>221</v>
      </c>
      <c r="D1186" s="229" t="s">
        <v>25</v>
      </c>
      <c r="E1186" s="229" t="s">
        <v>75</v>
      </c>
      <c r="F1186" s="229" t="s">
        <v>76</v>
      </c>
      <c r="G1186">
        <v>6</v>
      </c>
    </row>
    <row r="1187" spans="1:7" hidden="1" x14ac:dyDescent="0.2">
      <c r="A1187" t="str">
        <f t="shared" si="22"/>
        <v>SCM BlockedConfiguração Projeto/MóduloAComplexoSimples</v>
      </c>
      <c r="B1187" s="229" t="s">
        <v>234</v>
      </c>
      <c r="C1187" s="229" t="s">
        <v>221</v>
      </c>
      <c r="D1187" s="229" t="s">
        <v>25</v>
      </c>
      <c r="E1187" s="229" t="s">
        <v>76</v>
      </c>
      <c r="F1187" s="229" t="s">
        <v>26</v>
      </c>
      <c r="G1187">
        <v>6</v>
      </c>
    </row>
    <row r="1188" spans="1:7" hidden="1" x14ac:dyDescent="0.2">
      <c r="A1188" t="str">
        <f t="shared" si="22"/>
        <v>SCM BlockedConfiguração Projeto/MóduloAComplexoMédio</v>
      </c>
      <c r="B1188" s="229" t="s">
        <v>234</v>
      </c>
      <c r="C1188" s="229" t="s">
        <v>221</v>
      </c>
      <c r="D1188" s="229" t="s">
        <v>25</v>
      </c>
      <c r="E1188" s="229" t="s">
        <v>76</v>
      </c>
      <c r="F1188" s="229" t="s">
        <v>75</v>
      </c>
      <c r="G1188">
        <v>8</v>
      </c>
    </row>
    <row r="1189" spans="1:7" hidden="1" x14ac:dyDescent="0.2">
      <c r="A1189" t="str">
        <f t="shared" si="22"/>
        <v>SCM BlockedConfiguração Projeto/MóduloAComplexoComplexo</v>
      </c>
      <c r="B1189" s="229" t="s">
        <v>234</v>
      </c>
      <c r="C1189" s="229" t="s">
        <v>221</v>
      </c>
      <c r="D1189" s="229" t="s">
        <v>25</v>
      </c>
      <c r="E1189" s="229" t="s">
        <v>76</v>
      </c>
      <c r="F1189" s="229" t="s">
        <v>76</v>
      </c>
      <c r="G1189">
        <v>9</v>
      </c>
    </row>
    <row r="1190" spans="1:7" hidden="1" x14ac:dyDescent="0.2">
      <c r="A1190" t="str">
        <f t="shared" si="22"/>
        <v>Rules ServicesRegraDroolsNSimples</v>
      </c>
      <c r="B1190" s="229" t="s">
        <v>235</v>
      </c>
      <c r="C1190" s="229" t="s">
        <v>218</v>
      </c>
      <c r="D1190" s="229" t="s">
        <v>24</v>
      </c>
      <c r="E1190" s="229" t="s">
        <v>26</v>
      </c>
      <c r="F1190" s="229"/>
      <c r="G1190">
        <v>3</v>
      </c>
    </row>
    <row r="1191" spans="1:7" hidden="1" x14ac:dyDescent="0.2">
      <c r="A1191" t="str">
        <f t="shared" si="22"/>
        <v>Rules ServicesRegraDroolsNMédio</v>
      </c>
      <c r="B1191" s="229" t="s">
        <v>235</v>
      </c>
      <c r="C1191" s="229" t="s">
        <v>218</v>
      </c>
      <c r="D1191" s="229" t="s">
        <v>24</v>
      </c>
      <c r="E1191" s="229" t="s">
        <v>75</v>
      </c>
      <c r="F1191" s="229"/>
      <c r="G1191">
        <v>5</v>
      </c>
    </row>
    <row r="1192" spans="1:7" hidden="1" x14ac:dyDescent="0.2">
      <c r="A1192" t="str">
        <f t="shared" si="22"/>
        <v>Rules ServicesRegraDroolsNComplexo</v>
      </c>
      <c r="B1192" s="229" t="s">
        <v>235</v>
      </c>
      <c r="C1192" s="229" t="s">
        <v>218</v>
      </c>
      <c r="D1192" s="229" t="s">
        <v>24</v>
      </c>
      <c r="E1192" s="229" t="s">
        <v>76</v>
      </c>
      <c r="F1192" s="229"/>
      <c r="G1192">
        <v>9</v>
      </c>
    </row>
    <row r="1193" spans="1:7" hidden="1" x14ac:dyDescent="0.2">
      <c r="A1193" t="str">
        <f t="shared" si="22"/>
        <v>Rules ServicesRegraDroolsASimplesSimples</v>
      </c>
      <c r="B1193" s="229" t="s">
        <v>235</v>
      </c>
      <c r="C1193" s="229" t="s">
        <v>218</v>
      </c>
      <c r="D1193" s="229" t="s">
        <v>25</v>
      </c>
      <c r="E1193" s="229" t="s">
        <v>26</v>
      </c>
      <c r="F1193" s="229" t="s">
        <v>26</v>
      </c>
      <c r="G1193">
        <v>2</v>
      </c>
    </row>
    <row r="1194" spans="1:7" hidden="1" x14ac:dyDescent="0.2">
      <c r="A1194" t="str">
        <f t="shared" si="22"/>
        <v>Rules ServicesRegraDroolsASimplesMédio</v>
      </c>
      <c r="B1194" s="229" t="s">
        <v>235</v>
      </c>
      <c r="C1194" s="229" t="s">
        <v>218</v>
      </c>
      <c r="D1194" s="229" t="s">
        <v>25</v>
      </c>
      <c r="E1194" s="229" t="s">
        <v>26</v>
      </c>
      <c r="F1194" s="229" t="s">
        <v>75</v>
      </c>
      <c r="G1194">
        <v>4</v>
      </c>
    </row>
    <row r="1195" spans="1:7" hidden="1" x14ac:dyDescent="0.2">
      <c r="A1195" t="str">
        <f t="shared" si="22"/>
        <v>Rules ServicesRegraDroolsASimplesComplexo</v>
      </c>
      <c r="B1195" s="229" t="s">
        <v>235</v>
      </c>
      <c r="C1195" s="229" t="s">
        <v>218</v>
      </c>
      <c r="D1195" s="229" t="s">
        <v>25</v>
      </c>
      <c r="E1195" s="229" t="s">
        <v>26</v>
      </c>
      <c r="F1195" s="229" t="s">
        <v>76</v>
      </c>
      <c r="G1195">
        <v>6</v>
      </c>
    </row>
    <row r="1196" spans="1:7" hidden="1" x14ac:dyDescent="0.2">
      <c r="A1196" t="str">
        <f t="shared" si="22"/>
        <v>Rules ServicesRegraDroolsAMédioSimples</v>
      </c>
      <c r="B1196" s="229" t="s">
        <v>235</v>
      </c>
      <c r="C1196" s="229" t="s">
        <v>218</v>
      </c>
      <c r="D1196" s="229" t="s">
        <v>25</v>
      </c>
      <c r="E1196" s="229" t="s">
        <v>75</v>
      </c>
      <c r="F1196" s="229" t="s">
        <v>26</v>
      </c>
      <c r="G1196">
        <v>3</v>
      </c>
    </row>
    <row r="1197" spans="1:7" hidden="1" x14ac:dyDescent="0.2">
      <c r="A1197" t="str">
        <f t="shared" si="22"/>
        <v>Rules ServicesRegraDroolsAMédioMédio</v>
      </c>
      <c r="B1197" s="229" t="s">
        <v>235</v>
      </c>
      <c r="C1197" s="229" t="s">
        <v>218</v>
      </c>
      <c r="D1197" s="229" t="s">
        <v>25</v>
      </c>
      <c r="E1197" s="229" t="s">
        <v>75</v>
      </c>
      <c r="F1197" s="229" t="s">
        <v>75</v>
      </c>
      <c r="G1197">
        <v>6</v>
      </c>
    </row>
    <row r="1198" spans="1:7" hidden="1" x14ac:dyDescent="0.2">
      <c r="A1198" t="str">
        <f t="shared" si="22"/>
        <v>Rules ServicesRegraDroolsAMédioComplexo</v>
      </c>
      <c r="B1198" s="229" t="s">
        <v>235</v>
      </c>
      <c r="C1198" s="229" t="s">
        <v>218</v>
      </c>
      <c r="D1198" s="229" t="s">
        <v>25</v>
      </c>
      <c r="E1198" s="229" t="s">
        <v>75</v>
      </c>
      <c r="F1198" s="229" t="s">
        <v>76</v>
      </c>
      <c r="G1198">
        <v>8</v>
      </c>
    </row>
    <row r="1199" spans="1:7" hidden="1" x14ac:dyDescent="0.2">
      <c r="A1199" t="str">
        <f t="shared" si="22"/>
        <v>Rules ServicesRegraDroolsAComplexoSimples</v>
      </c>
      <c r="B1199" s="229" t="s">
        <v>235</v>
      </c>
      <c r="C1199" s="229" t="s">
        <v>218</v>
      </c>
      <c r="D1199" s="229" t="s">
        <v>25</v>
      </c>
      <c r="E1199" s="229" t="s">
        <v>76</v>
      </c>
      <c r="F1199" s="229" t="s">
        <v>26</v>
      </c>
      <c r="G1199">
        <v>6</v>
      </c>
    </row>
    <row r="1200" spans="1:7" hidden="1" x14ac:dyDescent="0.2">
      <c r="A1200" t="str">
        <f t="shared" si="22"/>
        <v>Rules ServicesRegraDroolsAComplexoMédio</v>
      </c>
      <c r="B1200" s="229" t="s">
        <v>235</v>
      </c>
      <c r="C1200" s="229" t="s">
        <v>218</v>
      </c>
      <c r="D1200" s="229" t="s">
        <v>25</v>
      </c>
      <c r="E1200" s="229" t="s">
        <v>76</v>
      </c>
      <c r="F1200" s="229" t="s">
        <v>75</v>
      </c>
      <c r="G1200">
        <v>8</v>
      </c>
    </row>
    <row r="1201" spans="1:7" hidden="1" x14ac:dyDescent="0.2">
      <c r="A1201" t="str">
        <f t="shared" si="22"/>
        <v>Rules ServicesRegraDroolsAComplexoComplexo</v>
      </c>
      <c r="B1201" s="229" t="s">
        <v>235</v>
      </c>
      <c r="C1201" s="229" t="s">
        <v>218</v>
      </c>
      <c r="D1201" s="229" t="s">
        <v>25</v>
      </c>
      <c r="E1201" s="229" t="s">
        <v>76</v>
      </c>
      <c r="F1201" s="229" t="s">
        <v>76</v>
      </c>
      <c r="G1201">
        <v>12</v>
      </c>
    </row>
    <row r="1202" spans="1:7" hidden="1" x14ac:dyDescent="0.2">
      <c r="A1202" t="str">
        <f t="shared" si="22"/>
        <v>Rules ServicesJUnitNSimples</v>
      </c>
      <c r="B1202" s="229" t="s">
        <v>235</v>
      </c>
      <c r="C1202" s="229" t="s">
        <v>219</v>
      </c>
      <c r="D1202" s="229" t="s">
        <v>24</v>
      </c>
      <c r="E1202" s="229" t="s">
        <v>26</v>
      </c>
      <c r="F1202" s="229"/>
      <c r="G1202">
        <v>3</v>
      </c>
    </row>
    <row r="1203" spans="1:7" hidden="1" x14ac:dyDescent="0.2">
      <c r="A1203" t="str">
        <f t="shared" si="22"/>
        <v>Rules ServicesJUnitNMédio</v>
      </c>
      <c r="B1203" s="229" t="s">
        <v>235</v>
      </c>
      <c r="C1203" s="229" t="s">
        <v>219</v>
      </c>
      <c r="D1203" s="229" t="s">
        <v>24</v>
      </c>
      <c r="E1203" s="229" t="s">
        <v>75</v>
      </c>
      <c r="F1203" s="229"/>
      <c r="G1203">
        <v>5</v>
      </c>
    </row>
    <row r="1204" spans="1:7" hidden="1" x14ac:dyDescent="0.2">
      <c r="A1204" t="str">
        <f t="shared" si="22"/>
        <v>Rules ServicesJUnitNComplexo</v>
      </c>
      <c r="B1204" s="229" t="s">
        <v>235</v>
      </c>
      <c r="C1204" s="229" t="s">
        <v>219</v>
      </c>
      <c r="D1204" s="229" t="s">
        <v>24</v>
      </c>
      <c r="E1204" s="229" t="s">
        <v>76</v>
      </c>
      <c r="F1204" s="229"/>
      <c r="G1204">
        <v>9</v>
      </c>
    </row>
    <row r="1205" spans="1:7" hidden="1" x14ac:dyDescent="0.2">
      <c r="A1205" t="str">
        <f t="shared" si="22"/>
        <v>Rules ServicesJUnitASimplesSimples</v>
      </c>
      <c r="B1205" s="229" t="s">
        <v>235</v>
      </c>
      <c r="C1205" s="229" t="s">
        <v>219</v>
      </c>
      <c r="D1205" s="229" t="s">
        <v>25</v>
      </c>
      <c r="E1205" s="229" t="s">
        <v>26</v>
      </c>
      <c r="F1205" s="229" t="s">
        <v>26</v>
      </c>
      <c r="G1205">
        <v>2</v>
      </c>
    </row>
    <row r="1206" spans="1:7" hidden="1" x14ac:dyDescent="0.2">
      <c r="A1206" t="str">
        <f t="shared" si="22"/>
        <v>Rules ServicesJUnitASimplesMédio</v>
      </c>
      <c r="B1206" s="229" t="s">
        <v>235</v>
      </c>
      <c r="C1206" s="229" t="s">
        <v>219</v>
      </c>
      <c r="D1206" s="229" t="s">
        <v>25</v>
      </c>
      <c r="E1206" s="229" t="s">
        <v>26</v>
      </c>
      <c r="F1206" s="229" t="s">
        <v>75</v>
      </c>
      <c r="G1206">
        <v>4</v>
      </c>
    </row>
    <row r="1207" spans="1:7" hidden="1" x14ac:dyDescent="0.2">
      <c r="A1207" t="str">
        <f t="shared" si="22"/>
        <v>Rules ServicesJUnitASimplesComplexo</v>
      </c>
      <c r="B1207" s="229" t="s">
        <v>235</v>
      </c>
      <c r="C1207" s="229" t="s">
        <v>219</v>
      </c>
      <c r="D1207" s="229" t="s">
        <v>25</v>
      </c>
      <c r="E1207" s="229" t="s">
        <v>26</v>
      </c>
      <c r="F1207" s="229" t="s">
        <v>76</v>
      </c>
      <c r="G1207">
        <v>5</v>
      </c>
    </row>
    <row r="1208" spans="1:7" hidden="1" x14ac:dyDescent="0.2">
      <c r="A1208" t="str">
        <f t="shared" si="22"/>
        <v>Rules ServicesJUnitAMédioSimples</v>
      </c>
      <c r="B1208" s="229" t="s">
        <v>235</v>
      </c>
      <c r="C1208" s="229" t="s">
        <v>219</v>
      </c>
      <c r="D1208" s="229" t="s">
        <v>25</v>
      </c>
      <c r="E1208" s="229" t="s">
        <v>75</v>
      </c>
      <c r="F1208" s="229" t="s">
        <v>26</v>
      </c>
      <c r="G1208">
        <v>3</v>
      </c>
    </row>
    <row r="1209" spans="1:7" hidden="1" x14ac:dyDescent="0.2">
      <c r="A1209" t="str">
        <f t="shared" si="22"/>
        <v>Rules ServicesJUnitAMédioMédio</v>
      </c>
      <c r="B1209" s="229" t="s">
        <v>235</v>
      </c>
      <c r="C1209" s="229" t="s">
        <v>219</v>
      </c>
      <c r="D1209" s="229" t="s">
        <v>25</v>
      </c>
      <c r="E1209" s="229" t="s">
        <v>75</v>
      </c>
      <c r="F1209" s="229" t="s">
        <v>75</v>
      </c>
      <c r="G1209">
        <v>5</v>
      </c>
    </row>
    <row r="1210" spans="1:7" hidden="1" x14ac:dyDescent="0.2">
      <c r="A1210" t="str">
        <f t="shared" si="22"/>
        <v>Rules ServicesJUnitAMédioComplexo</v>
      </c>
      <c r="B1210" s="229" t="s">
        <v>235</v>
      </c>
      <c r="C1210" s="229" t="s">
        <v>219</v>
      </c>
      <c r="D1210" s="229" t="s">
        <v>25</v>
      </c>
      <c r="E1210" s="229" t="s">
        <v>75</v>
      </c>
      <c r="F1210" s="229" t="s">
        <v>76</v>
      </c>
      <c r="G1210">
        <v>7</v>
      </c>
    </row>
    <row r="1211" spans="1:7" hidden="1" x14ac:dyDescent="0.2">
      <c r="A1211" t="str">
        <f t="shared" si="22"/>
        <v>Rules ServicesJUnitAComplexoSimples</v>
      </c>
      <c r="B1211" s="229" t="s">
        <v>235</v>
      </c>
      <c r="C1211" s="229" t="s">
        <v>219</v>
      </c>
      <c r="D1211" s="229" t="s">
        <v>25</v>
      </c>
      <c r="E1211" s="229" t="s">
        <v>76</v>
      </c>
      <c r="F1211" s="229" t="s">
        <v>26</v>
      </c>
      <c r="G1211">
        <v>4</v>
      </c>
    </row>
    <row r="1212" spans="1:7" hidden="1" x14ac:dyDescent="0.2">
      <c r="A1212" t="str">
        <f t="shared" si="22"/>
        <v>Rules ServicesJUnitAComplexoMédio</v>
      </c>
      <c r="B1212" s="229" t="s">
        <v>235</v>
      </c>
      <c r="C1212" s="229" t="s">
        <v>219</v>
      </c>
      <c r="D1212" s="229" t="s">
        <v>25</v>
      </c>
      <c r="E1212" s="229" t="s">
        <v>76</v>
      </c>
      <c r="F1212" s="229" t="s">
        <v>75</v>
      </c>
      <c r="G1212">
        <v>6</v>
      </c>
    </row>
    <row r="1213" spans="1:7" hidden="1" x14ac:dyDescent="0.2">
      <c r="A1213" t="str">
        <f t="shared" si="22"/>
        <v>Rules ServicesJUnitAComplexoComplexo</v>
      </c>
      <c r="B1213" s="229" t="s">
        <v>235</v>
      </c>
      <c r="C1213" s="229" t="s">
        <v>219</v>
      </c>
      <c r="D1213" s="229" t="s">
        <v>25</v>
      </c>
      <c r="E1213" s="229" t="s">
        <v>76</v>
      </c>
      <c r="F1213" s="229" t="s">
        <v>76</v>
      </c>
      <c r="G1213">
        <v>8</v>
      </c>
    </row>
    <row r="1214" spans="1:7" hidden="1" x14ac:dyDescent="0.2">
      <c r="A1214" t="str">
        <f t="shared" si="22"/>
        <v>Rules ServicesBanco de Dados (DML, DDL)NSimples</v>
      </c>
      <c r="B1214" s="229" t="s">
        <v>235</v>
      </c>
      <c r="C1214" s="229" t="s">
        <v>220</v>
      </c>
      <c r="D1214" s="229" t="s">
        <v>24</v>
      </c>
      <c r="E1214" s="229" t="s">
        <v>26</v>
      </c>
      <c r="F1214" s="229"/>
      <c r="G1214">
        <v>1</v>
      </c>
    </row>
    <row r="1215" spans="1:7" hidden="1" x14ac:dyDescent="0.2">
      <c r="A1215" t="str">
        <f t="shared" si="22"/>
        <v>Rules ServicesBanco de Dados (DML, DDL)NMédio</v>
      </c>
      <c r="B1215" s="229" t="s">
        <v>235</v>
      </c>
      <c r="C1215" s="229" t="s">
        <v>220</v>
      </c>
      <c r="D1215" s="229" t="s">
        <v>24</v>
      </c>
      <c r="E1215" s="229" t="s">
        <v>75</v>
      </c>
      <c r="F1215" s="229"/>
      <c r="G1215">
        <v>3</v>
      </c>
    </row>
    <row r="1216" spans="1:7" hidden="1" x14ac:dyDescent="0.2">
      <c r="A1216" t="str">
        <f t="shared" si="22"/>
        <v>Rules ServicesBanco de Dados (DML, DDL)NComplexo</v>
      </c>
      <c r="B1216" s="229" t="s">
        <v>235</v>
      </c>
      <c r="C1216" s="229" t="s">
        <v>220</v>
      </c>
      <c r="D1216" s="229" t="s">
        <v>24</v>
      </c>
      <c r="E1216" s="229" t="s">
        <v>76</v>
      </c>
      <c r="F1216" s="229"/>
      <c r="G1216">
        <v>5</v>
      </c>
    </row>
    <row r="1217" spans="1:7" hidden="1" x14ac:dyDescent="0.2">
      <c r="A1217" t="str">
        <f t="shared" ref="A1217:A1280" si="23">B1217&amp;C1217&amp;D1217&amp;E1217&amp;F1217</f>
        <v>Rules ServicesBanco de Dados (DML, DDL)ASimplesSimples</v>
      </c>
      <c r="B1217" s="229" t="s">
        <v>235</v>
      </c>
      <c r="C1217" s="229" t="s">
        <v>220</v>
      </c>
      <c r="D1217" s="229" t="s">
        <v>25</v>
      </c>
      <c r="E1217" s="229" t="s">
        <v>26</v>
      </c>
      <c r="F1217" s="229" t="s">
        <v>26</v>
      </c>
      <c r="G1217">
        <v>1</v>
      </c>
    </row>
    <row r="1218" spans="1:7" hidden="1" x14ac:dyDescent="0.2">
      <c r="A1218" t="str">
        <f t="shared" si="23"/>
        <v>Rules ServicesBanco de Dados (DML, DDL)ASimplesMédio</v>
      </c>
      <c r="B1218" s="229" t="s">
        <v>235</v>
      </c>
      <c r="C1218" s="229" t="s">
        <v>220</v>
      </c>
      <c r="D1218" s="229" t="s">
        <v>25</v>
      </c>
      <c r="E1218" s="229" t="s">
        <v>26</v>
      </c>
      <c r="F1218" s="229" t="s">
        <v>75</v>
      </c>
      <c r="G1218">
        <v>3</v>
      </c>
    </row>
    <row r="1219" spans="1:7" hidden="1" x14ac:dyDescent="0.2">
      <c r="A1219" t="str">
        <f t="shared" si="23"/>
        <v>Rules ServicesBanco de Dados (DML, DDL)ASimplesComplexo</v>
      </c>
      <c r="B1219" s="229" t="s">
        <v>235</v>
      </c>
      <c r="C1219" s="229" t="s">
        <v>220</v>
      </c>
      <c r="D1219" s="229" t="s">
        <v>25</v>
      </c>
      <c r="E1219" s="229" t="s">
        <v>26</v>
      </c>
      <c r="F1219" s="229" t="s">
        <v>76</v>
      </c>
      <c r="G1219">
        <v>5</v>
      </c>
    </row>
    <row r="1220" spans="1:7" hidden="1" x14ac:dyDescent="0.2">
      <c r="A1220" t="str">
        <f t="shared" si="23"/>
        <v>Rules ServicesBanco de Dados (DML, DDL)AMédioSimples</v>
      </c>
      <c r="B1220" s="229" t="s">
        <v>235</v>
      </c>
      <c r="C1220" s="229" t="s">
        <v>220</v>
      </c>
      <c r="D1220" s="229" t="s">
        <v>25</v>
      </c>
      <c r="E1220" s="229" t="s">
        <v>75</v>
      </c>
      <c r="F1220" s="229" t="s">
        <v>26</v>
      </c>
      <c r="G1220">
        <v>3</v>
      </c>
    </row>
    <row r="1221" spans="1:7" hidden="1" x14ac:dyDescent="0.2">
      <c r="A1221" t="str">
        <f t="shared" si="23"/>
        <v>Rules ServicesBanco de Dados (DML, DDL)AMédioMédio</v>
      </c>
      <c r="B1221" s="229" t="s">
        <v>235</v>
      </c>
      <c r="C1221" s="229" t="s">
        <v>220</v>
      </c>
      <c r="D1221" s="229" t="s">
        <v>25</v>
      </c>
      <c r="E1221" s="229" t="s">
        <v>75</v>
      </c>
      <c r="F1221" s="229" t="s">
        <v>75</v>
      </c>
      <c r="G1221">
        <v>6</v>
      </c>
    </row>
    <row r="1222" spans="1:7" hidden="1" x14ac:dyDescent="0.2">
      <c r="A1222" t="str">
        <f t="shared" si="23"/>
        <v>Rules ServicesBanco de Dados (DML, DDL)AMédioComplexo</v>
      </c>
      <c r="B1222" s="229" t="s">
        <v>235</v>
      </c>
      <c r="C1222" s="229" t="s">
        <v>220</v>
      </c>
      <c r="D1222" s="229" t="s">
        <v>25</v>
      </c>
      <c r="E1222" s="229" t="s">
        <v>75</v>
      </c>
      <c r="F1222" s="229" t="s">
        <v>76</v>
      </c>
      <c r="G1222">
        <v>8</v>
      </c>
    </row>
    <row r="1223" spans="1:7" hidden="1" x14ac:dyDescent="0.2">
      <c r="A1223" t="str">
        <f t="shared" si="23"/>
        <v>Rules ServicesBanco de Dados (DML, DDL)AComplexoSimples</v>
      </c>
      <c r="B1223" s="229" t="s">
        <v>235</v>
      </c>
      <c r="C1223" s="229" t="s">
        <v>220</v>
      </c>
      <c r="D1223" s="229" t="s">
        <v>25</v>
      </c>
      <c r="E1223" s="229" t="s">
        <v>76</v>
      </c>
      <c r="F1223" s="229" t="s">
        <v>26</v>
      </c>
      <c r="G1223">
        <v>5</v>
      </c>
    </row>
    <row r="1224" spans="1:7" hidden="1" x14ac:dyDescent="0.2">
      <c r="A1224" t="str">
        <f t="shared" si="23"/>
        <v>Rules ServicesBanco de Dados (DML, DDL)AComplexoMédio</v>
      </c>
      <c r="B1224" s="229" t="s">
        <v>235</v>
      </c>
      <c r="C1224" s="229" t="s">
        <v>220</v>
      </c>
      <c r="D1224" s="229" t="s">
        <v>25</v>
      </c>
      <c r="E1224" s="229" t="s">
        <v>76</v>
      </c>
      <c r="F1224" s="229" t="s">
        <v>75</v>
      </c>
      <c r="G1224">
        <v>8</v>
      </c>
    </row>
    <row r="1225" spans="1:7" hidden="1" x14ac:dyDescent="0.2">
      <c r="A1225" t="str">
        <f t="shared" si="23"/>
        <v>Rules ServicesBanco de Dados (DML, DDL)AComplexoComplexo</v>
      </c>
      <c r="B1225" s="229" t="s">
        <v>235</v>
      </c>
      <c r="C1225" s="229" t="s">
        <v>220</v>
      </c>
      <c r="D1225" s="229" t="s">
        <v>25</v>
      </c>
      <c r="E1225" s="229" t="s">
        <v>76</v>
      </c>
      <c r="F1225" s="229" t="s">
        <v>76</v>
      </c>
      <c r="G1225">
        <v>10</v>
      </c>
    </row>
    <row r="1226" spans="1:7" hidden="1" x14ac:dyDescent="0.2">
      <c r="A1226" t="str">
        <f t="shared" si="23"/>
        <v>Rules ServicesBanco de Dados (PL/SQL)NSimples</v>
      </c>
      <c r="B1226" s="229" t="s">
        <v>235</v>
      </c>
      <c r="C1226" s="229" t="s">
        <v>203</v>
      </c>
      <c r="D1226" s="229" t="s">
        <v>24</v>
      </c>
      <c r="E1226" s="229" t="s">
        <v>26</v>
      </c>
      <c r="F1226" s="229"/>
      <c r="G1226">
        <v>4</v>
      </c>
    </row>
    <row r="1227" spans="1:7" hidden="1" x14ac:dyDescent="0.2">
      <c r="A1227" t="str">
        <f t="shared" si="23"/>
        <v>Rules ServicesBanco de Dados (PL/SQL)NMédio</v>
      </c>
      <c r="B1227" s="229" t="s">
        <v>235</v>
      </c>
      <c r="C1227" s="229" t="s">
        <v>203</v>
      </c>
      <c r="D1227" s="229" t="s">
        <v>24</v>
      </c>
      <c r="E1227" s="229" t="s">
        <v>75</v>
      </c>
      <c r="F1227" s="229"/>
      <c r="G1227">
        <v>8</v>
      </c>
    </row>
    <row r="1228" spans="1:7" hidden="1" x14ac:dyDescent="0.2">
      <c r="A1228" t="str">
        <f t="shared" si="23"/>
        <v>Rules ServicesBanco de Dados (PL/SQL)NComplexo</v>
      </c>
      <c r="B1228" s="229" t="s">
        <v>235</v>
      </c>
      <c r="C1228" s="229" t="s">
        <v>203</v>
      </c>
      <c r="D1228" s="229" t="s">
        <v>24</v>
      </c>
      <c r="E1228" s="229" t="s">
        <v>76</v>
      </c>
      <c r="F1228" s="229"/>
      <c r="G1228">
        <v>12</v>
      </c>
    </row>
    <row r="1229" spans="1:7" hidden="1" x14ac:dyDescent="0.2">
      <c r="A1229" t="str">
        <f t="shared" si="23"/>
        <v>Rules ServicesBanco de Dados (PL/SQL)ASimplesSimples</v>
      </c>
      <c r="B1229" s="229" t="s">
        <v>235</v>
      </c>
      <c r="C1229" s="229" t="s">
        <v>203</v>
      </c>
      <c r="D1229" s="229" t="s">
        <v>25</v>
      </c>
      <c r="E1229" s="229" t="s">
        <v>26</v>
      </c>
      <c r="F1229" s="229" t="s">
        <v>26</v>
      </c>
      <c r="G1229">
        <v>2</v>
      </c>
    </row>
    <row r="1230" spans="1:7" hidden="1" x14ac:dyDescent="0.2">
      <c r="A1230" t="str">
        <f t="shared" si="23"/>
        <v>Rules ServicesBanco de Dados (PL/SQL)ASimplesMédio</v>
      </c>
      <c r="B1230" s="229" t="s">
        <v>235</v>
      </c>
      <c r="C1230" s="229" t="s">
        <v>203</v>
      </c>
      <c r="D1230" s="229" t="s">
        <v>25</v>
      </c>
      <c r="E1230" s="229" t="s">
        <v>26</v>
      </c>
      <c r="F1230" s="229" t="s">
        <v>75</v>
      </c>
      <c r="G1230">
        <v>4</v>
      </c>
    </row>
    <row r="1231" spans="1:7" hidden="1" x14ac:dyDescent="0.2">
      <c r="A1231" t="str">
        <f t="shared" si="23"/>
        <v>Rules ServicesBanco de Dados (PL/SQL)ASimplesComplexo</v>
      </c>
      <c r="B1231" s="229" t="s">
        <v>235</v>
      </c>
      <c r="C1231" s="229" t="s">
        <v>203</v>
      </c>
      <c r="D1231" s="229" t="s">
        <v>25</v>
      </c>
      <c r="E1231" s="229" t="s">
        <v>26</v>
      </c>
      <c r="F1231" s="229" t="s">
        <v>76</v>
      </c>
      <c r="G1231">
        <v>6</v>
      </c>
    </row>
    <row r="1232" spans="1:7" hidden="1" x14ac:dyDescent="0.2">
      <c r="A1232" t="str">
        <f t="shared" si="23"/>
        <v>Rules ServicesBanco de Dados (PL/SQL)AMédioSimples</v>
      </c>
      <c r="B1232" s="229" t="s">
        <v>235</v>
      </c>
      <c r="C1232" s="229" t="s">
        <v>203</v>
      </c>
      <c r="D1232" s="229" t="s">
        <v>25</v>
      </c>
      <c r="E1232" s="229" t="s">
        <v>75</v>
      </c>
      <c r="F1232" s="229" t="s">
        <v>26</v>
      </c>
      <c r="G1232">
        <v>4</v>
      </c>
    </row>
    <row r="1233" spans="1:7" hidden="1" x14ac:dyDescent="0.2">
      <c r="A1233" t="str">
        <f t="shared" si="23"/>
        <v>Rules ServicesBanco de Dados (PL/SQL)AMédioMédio</v>
      </c>
      <c r="B1233" s="229" t="s">
        <v>235</v>
      </c>
      <c r="C1233" s="229" t="s">
        <v>203</v>
      </c>
      <c r="D1233" s="229" t="s">
        <v>25</v>
      </c>
      <c r="E1233" s="229" t="s">
        <v>75</v>
      </c>
      <c r="F1233" s="229" t="s">
        <v>75</v>
      </c>
      <c r="G1233">
        <v>6</v>
      </c>
    </row>
    <row r="1234" spans="1:7" hidden="1" x14ac:dyDescent="0.2">
      <c r="A1234" t="str">
        <f t="shared" si="23"/>
        <v>Rules ServicesBanco de Dados (PL/SQL)AMédioComplexo</v>
      </c>
      <c r="B1234" s="229" t="s">
        <v>235</v>
      </c>
      <c r="C1234" s="229" t="s">
        <v>203</v>
      </c>
      <c r="D1234" s="229" t="s">
        <v>25</v>
      </c>
      <c r="E1234" s="229" t="s">
        <v>75</v>
      </c>
      <c r="F1234" s="229" t="s">
        <v>76</v>
      </c>
      <c r="G1234">
        <v>9</v>
      </c>
    </row>
    <row r="1235" spans="1:7" hidden="1" x14ac:dyDescent="0.2">
      <c r="A1235" t="str">
        <f t="shared" si="23"/>
        <v>Rules ServicesBanco de Dados (PL/SQL)AComplexoSimples</v>
      </c>
      <c r="B1235" s="229" t="s">
        <v>235</v>
      </c>
      <c r="C1235" s="229" t="s">
        <v>203</v>
      </c>
      <c r="D1235" s="229" t="s">
        <v>25</v>
      </c>
      <c r="E1235" s="229" t="s">
        <v>76</v>
      </c>
      <c r="F1235" s="229" t="s">
        <v>26</v>
      </c>
      <c r="G1235">
        <v>7</v>
      </c>
    </row>
    <row r="1236" spans="1:7" hidden="1" x14ac:dyDescent="0.2">
      <c r="A1236" t="str">
        <f t="shared" si="23"/>
        <v>Rules ServicesBanco de Dados (PL/SQL)AComplexoMédio</v>
      </c>
      <c r="B1236" s="229" t="s">
        <v>235</v>
      </c>
      <c r="C1236" s="229" t="s">
        <v>203</v>
      </c>
      <c r="D1236" s="229" t="s">
        <v>25</v>
      </c>
      <c r="E1236" s="229" t="s">
        <v>76</v>
      </c>
      <c r="F1236" s="229" t="s">
        <v>75</v>
      </c>
      <c r="G1236">
        <v>9</v>
      </c>
    </row>
    <row r="1237" spans="1:7" hidden="1" x14ac:dyDescent="0.2">
      <c r="A1237" t="str">
        <f t="shared" si="23"/>
        <v>Rules ServicesBanco de Dados (PL/SQL)AComplexoComplexo</v>
      </c>
      <c r="B1237" s="229" t="s">
        <v>235</v>
      </c>
      <c r="C1237" s="229" t="s">
        <v>203</v>
      </c>
      <c r="D1237" s="229" t="s">
        <v>25</v>
      </c>
      <c r="E1237" s="229" t="s">
        <v>76</v>
      </c>
      <c r="F1237" s="229" t="s">
        <v>76</v>
      </c>
      <c r="G1237">
        <v>12</v>
      </c>
    </row>
    <row r="1238" spans="1:7" hidden="1" x14ac:dyDescent="0.2">
      <c r="A1238" t="str">
        <f t="shared" si="23"/>
        <v>Rules ServicesJAVA: Interface WebServiceNSimples</v>
      </c>
      <c r="B1238" s="229" t="s">
        <v>235</v>
      </c>
      <c r="C1238" s="229" t="s">
        <v>204</v>
      </c>
      <c r="D1238" s="229" t="s">
        <v>24</v>
      </c>
      <c r="E1238" s="229" t="s">
        <v>26</v>
      </c>
      <c r="F1238" s="229"/>
      <c r="G1238">
        <v>3</v>
      </c>
    </row>
    <row r="1239" spans="1:7" hidden="1" x14ac:dyDescent="0.2">
      <c r="A1239" t="str">
        <f t="shared" si="23"/>
        <v>Rules ServicesJAVA: Interface WebServiceNMédio</v>
      </c>
      <c r="B1239" s="229" t="s">
        <v>235</v>
      </c>
      <c r="C1239" s="229" t="s">
        <v>204</v>
      </c>
      <c r="D1239" s="229" t="s">
        <v>24</v>
      </c>
      <c r="E1239" s="229" t="s">
        <v>75</v>
      </c>
      <c r="F1239" s="229"/>
      <c r="G1239">
        <v>5</v>
      </c>
    </row>
    <row r="1240" spans="1:7" hidden="1" x14ac:dyDescent="0.2">
      <c r="A1240" t="str">
        <f t="shared" si="23"/>
        <v>Rules ServicesJAVA: Interface WebServiceNComplexo</v>
      </c>
      <c r="B1240" s="229" t="s">
        <v>235</v>
      </c>
      <c r="C1240" s="229" t="s">
        <v>204</v>
      </c>
      <c r="D1240" s="229" t="s">
        <v>24</v>
      </c>
      <c r="E1240" s="229" t="s">
        <v>76</v>
      </c>
      <c r="F1240" s="229"/>
      <c r="G1240">
        <v>8</v>
      </c>
    </row>
    <row r="1241" spans="1:7" hidden="1" x14ac:dyDescent="0.2">
      <c r="A1241" t="str">
        <f t="shared" si="23"/>
        <v>Rules ServicesJAVA: Interface WebServiceASimplesSimples</v>
      </c>
      <c r="B1241" s="229" t="s">
        <v>235</v>
      </c>
      <c r="C1241" s="229" t="s">
        <v>204</v>
      </c>
      <c r="D1241" s="229" t="s">
        <v>25</v>
      </c>
      <c r="E1241" s="229" t="s">
        <v>26</v>
      </c>
      <c r="F1241" s="229" t="s">
        <v>26</v>
      </c>
      <c r="G1241">
        <v>2</v>
      </c>
    </row>
    <row r="1242" spans="1:7" hidden="1" x14ac:dyDescent="0.2">
      <c r="A1242" t="str">
        <f t="shared" si="23"/>
        <v>Rules ServicesJAVA: Interface WebServiceASimplesMédio</v>
      </c>
      <c r="B1242" s="229" t="s">
        <v>235</v>
      </c>
      <c r="C1242" s="229" t="s">
        <v>204</v>
      </c>
      <c r="D1242" s="229" t="s">
        <v>25</v>
      </c>
      <c r="E1242" s="229" t="s">
        <v>26</v>
      </c>
      <c r="F1242" s="229" t="s">
        <v>75</v>
      </c>
      <c r="G1242">
        <v>3</v>
      </c>
    </row>
    <row r="1243" spans="1:7" hidden="1" x14ac:dyDescent="0.2">
      <c r="A1243" t="str">
        <f t="shared" si="23"/>
        <v>Rules ServicesJAVA: Interface WebServiceASimplesComplexo</v>
      </c>
      <c r="B1243" s="229" t="s">
        <v>235</v>
      </c>
      <c r="C1243" s="229" t="s">
        <v>204</v>
      </c>
      <c r="D1243" s="229" t="s">
        <v>25</v>
      </c>
      <c r="E1243" s="229" t="s">
        <v>26</v>
      </c>
      <c r="F1243" s="229" t="s">
        <v>76</v>
      </c>
      <c r="G1243">
        <v>4</v>
      </c>
    </row>
    <row r="1244" spans="1:7" hidden="1" x14ac:dyDescent="0.2">
      <c r="A1244" t="str">
        <f t="shared" si="23"/>
        <v>Rules ServicesJAVA: Interface WebServiceAMédioSimples</v>
      </c>
      <c r="B1244" s="229" t="s">
        <v>235</v>
      </c>
      <c r="C1244" s="229" t="s">
        <v>204</v>
      </c>
      <c r="D1244" s="229" t="s">
        <v>25</v>
      </c>
      <c r="E1244" s="229" t="s">
        <v>75</v>
      </c>
      <c r="F1244" s="229" t="s">
        <v>26</v>
      </c>
      <c r="G1244">
        <v>2</v>
      </c>
    </row>
    <row r="1245" spans="1:7" hidden="1" x14ac:dyDescent="0.2">
      <c r="A1245" t="str">
        <f t="shared" si="23"/>
        <v>Rules ServicesJAVA: Interface WebServiceAMédioMédio</v>
      </c>
      <c r="B1245" s="229" t="s">
        <v>235</v>
      </c>
      <c r="C1245" s="229" t="s">
        <v>204</v>
      </c>
      <c r="D1245" s="229" t="s">
        <v>25</v>
      </c>
      <c r="E1245" s="229" t="s">
        <v>75</v>
      </c>
      <c r="F1245" s="229" t="s">
        <v>75</v>
      </c>
      <c r="G1245">
        <v>5</v>
      </c>
    </row>
    <row r="1246" spans="1:7" hidden="1" x14ac:dyDescent="0.2">
      <c r="A1246" t="str">
        <f t="shared" si="23"/>
        <v>Rules ServicesJAVA: Interface WebServiceAMédioComplexo</v>
      </c>
      <c r="B1246" s="229" t="s">
        <v>235</v>
      </c>
      <c r="C1246" s="229" t="s">
        <v>204</v>
      </c>
      <c r="D1246" s="229" t="s">
        <v>25</v>
      </c>
      <c r="E1246" s="229" t="s">
        <v>75</v>
      </c>
      <c r="F1246" s="229" t="s">
        <v>76</v>
      </c>
      <c r="G1246">
        <v>8</v>
      </c>
    </row>
    <row r="1247" spans="1:7" hidden="1" x14ac:dyDescent="0.2">
      <c r="A1247" t="str">
        <f t="shared" si="23"/>
        <v>Rules ServicesJAVA: Interface WebServiceAComplexoSimples</v>
      </c>
      <c r="B1247" s="229" t="s">
        <v>235</v>
      </c>
      <c r="C1247" s="229" t="s">
        <v>204</v>
      </c>
      <c r="D1247" s="229" t="s">
        <v>25</v>
      </c>
      <c r="E1247" s="229" t="s">
        <v>76</v>
      </c>
      <c r="F1247" s="229" t="s">
        <v>26</v>
      </c>
      <c r="G1247">
        <v>5</v>
      </c>
    </row>
    <row r="1248" spans="1:7" hidden="1" x14ac:dyDescent="0.2">
      <c r="A1248" t="str">
        <f t="shared" si="23"/>
        <v>Rules ServicesJAVA: Interface WebServiceAComplexoMédio</v>
      </c>
      <c r="B1248" s="229" t="s">
        <v>235</v>
      </c>
      <c r="C1248" s="229" t="s">
        <v>204</v>
      </c>
      <c r="D1248" s="229" t="s">
        <v>25</v>
      </c>
      <c r="E1248" s="229" t="s">
        <v>76</v>
      </c>
      <c r="F1248" s="229" t="s">
        <v>75</v>
      </c>
      <c r="G1248">
        <v>7</v>
      </c>
    </row>
    <row r="1249" spans="1:7" hidden="1" x14ac:dyDescent="0.2">
      <c r="A1249" t="str">
        <f t="shared" si="23"/>
        <v>Rules ServicesJAVA: Interface WebServiceAComplexoComplexo</v>
      </c>
      <c r="B1249" s="229" t="s">
        <v>235</v>
      </c>
      <c r="C1249" s="229" t="s">
        <v>204</v>
      </c>
      <c r="D1249" s="229" t="s">
        <v>25</v>
      </c>
      <c r="E1249" s="229" t="s">
        <v>76</v>
      </c>
      <c r="F1249" s="229" t="s">
        <v>76</v>
      </c>
      <c r="G1249">
        <v>9</v>
      </c>
    </row>
    <row r="1250" spans="1:7" hidden="1" x14ac:dyDescent="0.2">
      <c r="A1250" t="str">
        <f t="shared" si="23"/>
        <v>Rules ServicesJAVA: Transformação de ObjetosNSimples</v>
      </c>
      <c r="B1250" s="229" t="s">
        <v>235</v>
      </c>
      <c r="C1250" s="229" t="s">
        <v>205</v>
      </c>
      <c r="D1250" s="229" t="s">
        <v>24</v>
      </c>
      <c r="E1250" s="229" t="s">
        <v>26</v>
      </c>
      <c r="F1250" s="229"/>
      <c r="G1250">
        <v>1</v>
      </c>
    </row>
    <row r="1251" spans="1:7" hidden="1" x14ac:dyDescent="0.2">
      <c r="A1251" t="str">
        <f t="shared" si="23"/>
        <v>Rules ServicesJAVA: Transformação de ObjetosNMédio</v>
      </c>
      <c r="B1251" s="229" t="s">
        <v>235</v>
      </c>
      <c r="C1251" s="229" t="s">
        <v>205</v>
      </c>
      <c r="D1251" s="229" t="s">
        <v>24</v>
      </c>
      <c r="E1251" s="229" t="s">
        <v>75</v>
      </c>
      <c r="F1251" s="229"/>
      <c r="G1251">
        <v>3</v>
      </c>
    </row>
    <row r="1252" spans="1:7" hidden="1" x14ac:dyDescent="0.2">
      <c r="A1252" t="str">
        <f t="shared" si="23"/>
        <v>Rules ServicesJAVA: Transformação de ObjetosNComplexo</v>
      </c>
      <c r="B1252" s="229" t="s">
        <v>235</v>
      </c>
      <c r="C1252" s="229" t="s">
        <v>205</v>
      </c>
      <c r="D1252" s="229" t="s">
        <v>24</v>
      </c>
      <c r="E1252" s="229" t="s">
        <v>76</v>
      </c>
      <c r="F1252" s="229"/>
      <c r="G1252">
        <v>5</v>
      </c>
    </row>
    <row r="1253" spans="1:7" hidden="1" x14ac:dyDescent="0.2">
      <c r="A1253" t="str">
        <f t="shared" si="23"/>
        <v>Rules ServicesJAVA: Transformação de ObjetosASimplesSimples</v>
      </c>
      <c r="B1253" s="229" t="s">
        <v>235</v>
      </c>
      <c r="C1253" s="229" t="s">
        <v>205</v>
      </c>
      <c r="D1253" s="229" t="s">
        <v>25</v>
      </c>
      <c r="E1253" s="229" t="s">
        <v>26</v>
      </c>
      <c r="F1253" s="229" t="s">
        <v>26</v>
      </c>
      <c r="G1253">
        <v>1</v>
      </c>
    </row>
    <row r="1254" spans="1:7" hidden="1" x14ac:dyDescent="0.2">
      <c r="A1254" t="str">
        <f t="shared" si="23"/>
        <v>Rules ServicesJAVA: Transformação de ObjetosASimplesMédio</v>
      </c>
      <c r="B1254" s="229" t="s">
        <v>235</v>
      </c>
      <c r="C1254" s="229" t="s">
        <v>205</v>
      </c>
      <c r="D1254" s="229" t="s">
        <v>25</v>
      </c>
      <c r="E1254" s="229" t="s">
        <v>26</v>
      </c>
      <c r="F1254" s="229" t="s">
        <v>75</v>
      </c>
      <c r="G1254">
        <v>2</v>
      </c>
    </row>
    <row r="1255" spans="1:7" hidden="1" x14ac:dyDescent="0.2">
      <c r="A1255" t="str">
        <f t="shared" si="23"/>
        <v>Rules ServicesJAVA: Transformação de ObjetosASimplesComplexo</v>
      </c>
      <c r="B1255" s="229" t="s">
        <v>235</v>
      </c>
      <c r="C1255" s="229" t="s">
        <v>205</v>
      </c>
      <c r="D1255" s="229" t="s">
        <v>25</v>
      </c>
      <c r="E1255" s="229" t="s">
        <v>26</v>
      </c>
      <c r="F1255" s="229" t="s">
        <v>76</v>
      </c>
      <c r="G1255">
        <v>4</v>
      </c>
    </row>
    <row r="1256" spans="1:7" hidden="1" x14ac:dyDescent="0.2">
      <c r="A1256" t="str">
        <f t="shared" si="23"/>
        <v>Rules ServicesJAVA: Transformação de ObjetosAMédioSimples</v>
      </c>
      <c r="B1256" s="229" t="s">
        <v>235</v>
      </c>
      <c r="C1256" s="229" t="s">
        <v>205</v>
      </c>
      <c r="D1256" s="229" t="s">
        <v>25</v>
      </c>
      <c r="E1256" s="229" t="s">
        <v>75</v>
      </c>
      <c r="F1256" s="229" t="s">
        <v>26</v>
      </c>
      <c r="G1256">
        <v>3</v>
      </c>
    </row>
    <row r="1257" spans="1:7" hidden="1" x14ac:dyDescent="0.2">
      <c r="A1257" t="str">
        <f t="shared" si="23"/>
        <v>Rules ServicesJAVA: Transformação de ObjetosAMédioMédio</v>
      </c>
      <c r="B1257" s="229" t="s">
        <v>235</v>
      </c>
      <c r="C1257" s="229" t="s">
        <v>205</v>
      </c>
      <c r="D1257" s="229" t="s">
        <v>25</v>
      </c>
      <c r="E1257" s="229" t="s">
        <v>75</v>
      </c>
      <c r="F1257" s="229" t="s">
        <v>75</v>
      </c>
      <c r="G1257">
        <v>5</v>
      </c>
    </row>
    <row r="1258" spans="1:7" hidden="1" x14ac:dyDescent="0.2">
      <c r="A1258" t="str">
        <f t="shared" si="23"/>
        <v>Rules ServicesJAVA: Transformação de ObjetosAMédioComplexo</v>
      </c>
      <c r="B1258" s="229" t="s">
        <v>235</v>
      </c>
      <c r="C1258" s="229" t="s">
        <v>205</v>
      </c>
      <c r="D1258" s="229" t="s">
        <v>25</v>
      </c>
      <c r="E1258" s="229" t="s">
        <v>75</v>
      </c>
      <c r="F1258" s="229" t="s">
        <v>76</v>
      </c>
      <c r="G1258">
        <v>6</v>
      </c>
    </row>
    <row r="1259" spans="1:7" hidden="1" x14ac:dyDescent="0.2">
      <c r="A1259" t="str">
        <f t="shared" si="23"/>
        <v>Rules ServicesJAVA: Transformação de ObjetosAComplexoSimples</v>
      </c>
      <c r="B1259" s="229" t="s">
        <v>235</v>
      </c>
      <c r="C1259" s="229" t="s">
        <v>205</v>
      </c>
      <c r="D1259" s="229" t="s">
        <v>25</v>
      </c>
      <c r="E1259" s="229" t="s">
        <v>76</v>
      </c>
      <c r="F1259" s="229" t="s">
        <v>26</v>
      </c>
      <c r="G1259">
        <v>4</v>
      </c>
    </row>
    <row r="1260" spans="1:7" hidden="1" x14ac:dyDescent="0.2">
      <c r="A1260" t="str">
        <f t="shared" si="23"/>
        <v>Rules ServicesJAVA: Transformação de ObjetosAComplexoMédio</v>
      </c>
      <c r="B1260" s="229" t="s">
        <v>235</v>
      </c>
      <c r="C1260" s="229" t="s">
        <v>205</v>
      </c>
      <c r="D1260" s="229" t="s">
        <v>25</v>
      </c>
      <c r="E1260" s="229" t="s">
        <v>76</v>
      </c>
      <c r="F1260" s="229" t="s">
        <v>75</v>
      </c>
      <c r="G1260">
        <v>6</v>
      </c>
    </row>
    <row r="1261" spans="1:7" hidden="1" x14ac:dyDescent="0.2">
      <c r="A1261" t="str">
        <f t="shared" si="23"/>
        <v>Rules ServicesJAVA: Transformação de ObjetosAComplexoComplexo</v>
      </c>
      <c r="B1261" s="229" t="s">
        <v>235</v>
      </c>
      <c r="C1261" s="229" t="s">
        <v>205</v>
      </c>
      <c r="D1261" s="229" t="s">
        <v>25</v>
      </c>
      <c r="E1261" s="229" t="s">
        <v>76</v>
      </c>
      <c r="F1261" s="229" t="s">
        <v>76</v>
      </c>
      <c r="G1261">
        <v>8</v>
      </c>
    </row>
    <row r="1262" spans="1:7" hidden="1" x14ac:dyDescent="0.2">
      <c r="A1262" t="str">
        <f t="shared" si="23"/>
        <v>Rules ServicesJAVA: Métodos de Negócio (Controller)NSimples</v>
      </c>
      <c r="B1262" s="229" t="s">
        <v>235</v>
      </c>
      <c r="C1262" s="229" t="s">
        <v>206</v>
      </c>
      <c r="D1262" s="229" t="s">
        <v>24</v>
      </c>
      <c r="E1262" s="229" t="s">
        <v>26</v>
      </c>
      <c r="F1262" s="229"/>
      <c r="G1262">
        <v>8</v>
      </c>
    </row>
    <row r="1263" spans="1:7" hidden="1" x14ac:dyDescent="0.2">
      <c r="A1263" t="str">
        <f t="shared" si="23"/>
        <v>Rules ServicesJAVA: Métodos de Negócio (Controller)NMédio</v>
      </c>
      <c r="B1263" s="229" t="s">
        <v>235</v>
      </c>
      <c r="C1263" s="229" t="s">
        <v>206</v>
      </c>
      <c r="D1263" s="229" t="s">
        <v>24</v>
      </c>
      <c r="E1263" s="229" t="s">
        <v>75</v>
      </c>
      <c r="F1263" s="229"/>
      <c r="G1263">
        <v>16</v>
      </c>
    </row>
    <row r="1264" spans="1:7" hidden="1" x14ac:dyDescent="0.2">
      <c r="A1264" t="str">
        <f t="shared" si="23"/>
        <v>Rules ServicesJAVA: Métodos de Negócio (Controller)NComplexo</v>
      </c>
      <c r="B1264" s="229" t="s">
        <v>235</v>
      </c>
      <c r="C1264" s="229" t="s">
        <v>206</v>
      </c>
      <c r="D1264" s="229" t="s">
        <v>24</v>
      </c>
      <c r="E1264" s="229" t="s">
        <v>76</v>
      </c>
      <c r="F1264" s="229"/>
      <c r="G1264">
        <v>24</v>
      </c>
    </row>
    <row r="1265" spans="1:7" hidden="1" x14ac:dyDescent="0.2">
      <c r="A1265" t="str">
        <f t="shared" si="23"/>
        <v>Rules ServicesJAVA: Métodos de Negócio (Controller)ASimplesSimples</v>
      </c>
      <c r="B1265" s="229" t="s">
        <v>235</v>
      </c>
      <c r="C1265" s="229" t="s">
        <v>206</v>
      </c>
      <c r="D1265" s="229" t="s">
        <v>25</v>
      </c>
      <c r="E1265" s="229" t="s">
        <v>26</v>
      </c>
      <c r="F1265" s="229" t="s">
        <v>26</v>
      </c>
      <c r="G1265">
        <v>3</v>
      </c>
    </row>
    <row r="1266" spans="1:7" hidden="1" x14ac:dyDescent="0.2">
      <c r="A1266" t="str">
        <f t="shared" si="23"/>
        <v>Rules ServicesJAVA: Métodos de Negócio (Controller)ASimplesMédio</v>
      </c>
      <c r="B1266" s="229" t="s">
        <v>235</v>
      </c>
      <c r="C1266" s="229" t="s">
        <v>206</v>
      </c>
      <c r="D1266" s="229" t="s">
        <v>25</v>
      </c>
      <c r="E1266" s="229" t="s">
        <v>26</v>
      </c>
      <c r="F1266" s="229" t="s">
        <v>75</v>
      </c>
      <c r="G1266">
        <v>5</v>
      </c>
    </row>
    <row r="1267" spans="1:7" hidden="1" x14ac:dyDescent="0.2">
      <c r="A1267" t="str">
        <f t="shared" si="23"/>
        <v>Rules ServicesJAVA: Métodos de Negócio (Controller)ASimplesComplexo</v>
      </c>
      <c r="B1267" s="229" t="s">
        <v>235</v>
      </c>
      <c r="C1267" s="229" t="s">
        <v>206</v>
      </c>
      <c r="D1267" s="229" t="s">
        <v>25</v>
      </c>
      <c r="E1267" s="229" t="s">
        <v>26</v>
      </c>
      <c r="F1267" s="229" t="s">
        <v>76</v>
      </c>
      <c r="G1267">
        <v>7</v>
      </c>
    </row>
    <row r="1268" spans="1:7" hidden="1" x14ac:dyDescent="0.2">
      <c r="A1268" t="str">
        <f t="shared" si="23"/>
        <v>Rules ServicesJAVA: Métodos de Negócio (Controller)AMédioSimples</v>
      </c>
      <c r="B1268" s="229" t="s">
        <v>235</v>
      </c>
      <c r="C1268" s="229" t="s">
        <v>206</v>
      </c>
      <c r="D1268" s="229" t="s">
        <v>25</v>
      </c>
      <c r="E1268" s="229" t="s">
        <v>75</v>
      </c>
      <c r="F1268" s="229" t="s">
        <v>26</v>
      </c>
      <c r="G1268" s="229">
        <v>8</v>
      </c>
    </row>
    <row r="1269" spans="1:7" hidden="1" x14ac:dyDescent="0.2">
      <c r="A1269" t="str">
        <f t="shared" si="23"/>
        <v>Rules ServicesJAVA: Métodos de Negócio (Controller)AMédioMédio</v>
      </c>
      <c r="B1269" s="229" t="s">
        <v>235</v>
      </c>
      <c r="C1269" s="229" t="s">
        <v>206</v>
      </c>
      <c r="D1269" s="229" t="s">
        <v>25</v>
      </c>
      <c r="E1269" s="229" t="s">
        <v>75</v>
      </c>
      <c r="F1269" s="229" t="s">
        <v>75</v>
      </c>
      <c r="G1269">
        <v>10</v>
      </c>
    </row>
    <row r="1270" spans="1:7" hidden="1" x14ac:dyDescent="0.2">
      <c r="A1270" t="str">
        <f t="shared" si="23"/>
        <v>Rules ServicesJAVA: Métodos de Negócio (Controller)AMédioComplexo</v>
      </c>
      <c r="B1270" s="229" t="s">
        <v>235</v>
      </c>
      <c r="C1270" s="229" t="s">
        <v>206</v>
      </c>
      <c r="D1270" s="229" t="s">
        <v>25</v>
      </c>
      <c r="E1270" s="229" t="s">
        <v>75</v>
      </c>
      <c r="F1270" s="229" t="s">
        <v>76</v>
      </c>
      <c r="G1270">
        <v>14</v>
      </c>
    </row>
    <row r="1271" spans="1:7" hidden="1" x14ac:dyDescent="0.2">
      <c r="A1271" t="str">
        <f t="shared" si="23"/>
        <v>Rules ServicesJAVA: Métodos de Negócio (Controller)AComplexoSimples</v>
      </c>
      <c r="B1271" s="229" t="s">
        <v>235</v>
      </c>
      <c r="C1271" s="229" t="s">
        <v>206</v>
      </c>
      <c r="D1271" s="229" t="s">
        <v>25</v>
      </c>
      <c r="E1271" s="229" t="s">
        <v>76</v>
      </c>
      <c r="F1271" s="229" t="s">
        <v>26</v>
      </c>
      <c r="G1271">
        <v>6</v>
      </c>
    </row>
    <row r="1272" spans="1:7" hidden="1" x14ac:dyDescent="0.2">
      <c r="A1272" t="str">
        <f t="shared" si="23"/>
        <v>Rules ServicesJAVA: Métodos de Negócio (Controller)AComplexoMédio</v>
      </c>
      <c r="B1272" s="229" t="s">
        <v>235</v>
      </c>
      <c r="C1272" s="229" t="s">
        <v>206</v>
      </c>
      <c r="D1272" s="229" t="s">
        <v>25</v>
      </c>
      <c r="E1272" s="229" t="s">
        <v>76</v>
      </c>
      <c r="F1272" s="229" t="s">
        <v>75</v>
      </c>
      <c r="G1272">
        <v>10</v>
      </c>
    </row>
    <row r="1273" spans="1:7" hidden="1" x14ac:dyDescent="0.2">
      <c r="A1273" t="str">
        <f t="shared" si="23"/>
        <v>Rules ServicesJAVA: Métodos de Negócio (Controller)AComplexoComplexo</v>
      </c>
      <c r="B1273" s="229" t="s">
        <v>235</v>
      </c>
      <c r="C1273" s="229" t="s">
        <v>206</v>
      </c>
      <c r="D1273" s="229" t="s">
        <v>25</v>
      </c>
      <c r="E1273" s="229" t="s">
        <v>76</v>
      </c>
      <c r="F1273" s="229" t="s">
        <v>76</v>
      </c>
      <c r="G1273">
        <v>16</v>
      </c>
    </row>
    <row r="1274" spans="1:7" hidden="1" x14ac:dyDescent="0.2">
      <c r="A1274" t="str">
        <f t="shared" si="23"/>
        <v>Rules ServicesJAVA: EntityNSimples</v>
      </c>
      <c r="B1274" s="229" t="s">
        <v>235</v>
      </c>
      <c r="C1274" s="229" t="s">
        <v>207</v>
      </c>
      <c r="D1274" s="229" t="s">
        <v>24</v>
      </c>
      <c r="E1274" s="229" t="s">
        <v>26</v>
      </c>
      <c r="F1274" s="229"/>
      <c r="G1274">
        <v>1</v>
      </c>
    </row>
    <row r="1275" spans="1:7" hidden="1" x14ac:dyDescent="0.2">
      <c r="A1275" t="str">
        <f t="shared" si="23"/>
        <v>Rules ServicesJAVA: EntityNMédio</v>
      </c>
      <c r="B1275" s="229" t="s">
        <v>235</v>
      </c>
      <c r="C1275" s="229" t="s">
        <v>207</v>
      </c>
      <c r="D1275" s="229" t="s">
        <v>24</v>
      </c>
      <c r="E1275" s="229" t="s">
        <v>75</v>
      </c>
      <c r="F1275" s="229"/>
      <c r="G1275">
        <v>2</v>
      </c>
    </row>
    <row r="1276" spans="1:7" hidden="1" x14ac:dyDescent="0.2">
      <c r="A1276" t="str">
        <f t="shared" si="23"/>
        <v>Rules ServicesJAVA: EntityNComplexo</v>
      </c>
      <c r="B1276" s="229" t="s">
        <v>235</v>
      </c>
      <c r="C1276" s="229" t="s">
        <v>207</v>
      </c>
      <c r="D1276" s="229" t="s">
        <v>24</v>
      </c>
      <c r="E1276" s="229" t="s">
        <v>76</v>
      </c>
      <c r="F1276" s="229"/>
      <c r="G1276">
        <v>4</v>
      </c>
    </row>
    <row r="1277" spans="1:7" hidden="1" x14ac:dyDescent="0.2">
      <c r="A1277" t="str">
        <f t="shared" si="23"/>
        <v>Rules ServicesJAVA: EntityASimplesSimples</v>
      </c>
      <c r="B1277" s="229" t="s">
        <v>235</v>
      </c>
      <c r="C1277" s="229" t="s">
        <v>207</v>
      </c>
      <c r="D1277" s="229" t="s">
        <v>25</v>
      </c>
      <c r="E1277" s="229" t="s">
        <v>26</v>
      </c>
      <c r="F1277" s="229" t="s">
        <v>26</v>
      </c>
      <c r="G1277">
        <v>1</v>
      </c>
    </row>
    <row r="1278" spans="1:7" hidden="1" x14ac:dyDescent="0.2">
      <c r="A1278" t="str">
        <f t="shared" si="23"/>
        <v>Rules ServicesJAVA: EntityASimplesMédio</v>
      </c>
      <c r="B1278" s="229" t="s">
        <v>235</v>
      </c>
      <c r="C1278" s="229" t="s">
        <v>207</v>
      </c>
      <c r="D1278" s="229" t="s">
        <v>25</v>
      </c>
      <c r="E1278" s="229" t="s">
        <v>26</v>
      </c>
      <c r="F1278" s="229" t="s">
        <v>75</v>
      </c>
      <c r="G1278">
        <v>2</v>
      </c>
    </row>
    <row r="1279" spans="1:7" hidden="1" x14ac:dyDescent="0.2">
      <c r="A1279" t="str">
        <f t="shared" si="23"/>
        <v>Rules ServicesJAVA: EntityASimplesComplexo</v>
      </c>
      <c r="B1279" s="229" t="s">
        <v>235</v>
      </c>
      <c r="C1279" s="229" t="s">
        <v>207</v>
      </c>
      <c r="D1279" s="229" t="s">
        <v>25</v>
      </c>
      <c r="E1279" s="229" t="s">
        <v>26</v>
      </c>
      <c r="F1279" s="229" t="s">
        <v>76</v>
      </c>
      <c r="G1279">
        <v>3</v>
      </c>
    </row>
    <row r="1280" spans="1:7" hidden="1" x14ac:dyDescent="0.2">
      <c r="A1280" t="str">
        <f t="shared" si="23"/>
        <v>Rules ServicesJAVA: EntityAMédioSimples</v>
      </c>
      <c r="B1280" s="229" t="s">
        <v>235</v>
      </c>
      <c r="C1280" s="229" t="s">
        <v>207</v>
      </c>
      <c r="D1280" s="229" t="s">
        <v>25</v>
      </c>
      <c r="E1280" s="229" t="s">
        <v>75</v>
      </c>
      <c r="F1280" s="229" t="s">
        <v>26</v>
      </c>
      <c r="G1280">
        <v>2</v>
      </c>
    </row>
    <row r="1281" spans="1:7" hidden="1" x14ac:dyDescent="0.2">
      <c r="A1281" t="str">
        <f t="shared" ref="A1281:A1344" si="24">B1281&amp;C1281&amp;D1281&amp;E1281&amp;F1281</f>
        <v>Rules ServicesJAVA: EntityAMédioMédio</v>
      </c>
      <c r="B1281" s="229" t="s">
        <v>235</v>
      </c>
      <c r="C1281" s="229" t="s">
        <v>207</v>
      </c>
      <c r="D1281" s="229" t="s">
        <v>25</v>
      </c>
      <c r="E1281" s="229" t="s">
        <v>75</v>
      </c>
      <c r="F1281" s="229" t="s">
        <v>75</v>
      </c>
      <c r="G1281">
        <v>3</v>
      </c>
    </row>
    <row r="1282" spans="1:7" hidden="1" x14ac:dyDescent="0.2">
      <c r="A1282" t="str">
        <f t="shared" si="24"/>
        <v>Rules ServicesJAVA: EntityAMédioComplexo</v>
      </c>
      <c r="B1282" s="229" t="s">
        <v>235</v>
      </c>
      <c r="C1282" s="229" t="s">
        <v>207</v>
      </c>
      <c r="D1282" s="229" t="s">
        <v>25</v>
      </c>
      <c r="E1282" s="229" t="s">
        <v>75</v>
      </c>
      <c r="F1282" s="229" t="s">
        <v>76</v>
      </c>
      <c r="G1282">
        <v>4</v>
      </c>
    </row>
    <row r="1283" spans="1:7" hidden="1" x14ac:dyDescent="0.2">
      <c r="A1283" t="str">
        <f t="shared" si="24"/>
        <v>Rules ServicesJAVA: EntityAComplexoSimples</v>
      </c>
      <c r="B1283" s="229" t="s">
        <v>235</v>
      </c>
      <c r="C1283" s="229" t="s">
        <v>207</v>
      </c>
      <c r="D1283" s="229" t="s">
        <v>25</v>
      </c>
      <c r="E1283" s="229" t="s">
        <v>76</v>
      </c>
      <c r="F1283" s="229" t="s">
        <v>26</v>
      </c>
      <c r="G1283">
        <v>3</v>
      </c>
    </row>
    <row r="1284" spans="1:7" hidden="1" x14ac:dyDescent="0.2">
      <c r="A1284" t="str">
        <f t="shared" si="24"/>
        <v>Rules ServicesJAVA: EntityAComplexoMédio</v>
      </c>
      <c r="B1284" s="229" t="s">
        <v>235</v>
      </c>
      <c r="C1284" s="229" t="s">
        <v>207</v>
      </c>
      <c r="D1284" s="229" t="s">
        <v>25</v>
      </c>
      <c r="E1284" s="229" t="s">
        <v>76</v>
      </c>
      <c r="F1284" s="229" t="s">
        <v>75</v>
      </c>
      <c r="G1284">
        <v>5</v>
      </c>
    </row>
    <row r="1285" spans="1:7" hidden="1" x14ac:dyDescent="0.2">
      <c r="A1285" t="str">
        <f t="shared" si="24"/>
        <v>Rules ServicesJAVA: EntityAComplexoComplexo</v>
      </c>
      <c r="B1285" s="229" t="s">
        <v>235</v>
      </c>
      <c r="C1285" s="229" t="s">
        <v>207</v>
      </c>
      <c r="D1285" s="229" t="s">
        <v>25</v>
      </c>
      <c r="E1285" s="229" t="s">
        <v>76</v>
      </c>
      <c r="F1285" s="229" t="s">
        <v>76</v>
      </c>
      <c r="G1285">
        <v>8</v>
      </c>
    </row>
    <row r="1286" spans="1:7" hidden="1" x14ac:dyDescent="0.2">
      <c r="A1286" t="str">
        <f t="shared" si="24"/>
        <v>Rules ServicesJAVA: Consulta Banco de DadosNSimples</v>
      </c>
      <c r="B1286" s="229" t="s">
        <v>235</v>
      </c>
      <c r="C1286" s="229" t="s">
        <v>208</v>
      </c>
      <c r="D1286" s="229" t="s">
        <v>24</v>
      </c>
      <c r="E1286" s="229" t="s">
        <v>26</v>
      </c>
      <c r="F1286" s="229"/>
      <c r="G1286">
        <v>2</v>
      </c>
    </row>
    <row r="1287" spans="1:7" hidden="1" x14ac:dyDescent="0.2">
      <c r="A1287" t="str">
        <f t="shared" si="24"/>
        <v>Rules ServicesJAVA: Consulta Banco de DadosNMédio</v>
      </c>
      <c r="B1287" s="229" t="s">
        <v>235</v>
      </c>
      <c r="C1287" s="229" t="s">
        <v>208</v>
      </c>
      <c r="D1287" s="229" t="s">
        <v>24</v>
      </c>
      <c r="E1287" s="229" t="s">
        <v>75</v>
      </c>
      <c r="F1287" s="229"/>
      <c r="G1287">
        <v>5</v>
      </c>
    </row>
    <row r="1288" spans="1:7" hidden="1" x14ac:dyDescent="0.2">
      <c r="A1288" t="str">
        <f t="shared" si="24"/>
        <v>Rules ServicesJAVA: Consulta Banco de DadosNComplexo</v>
      </c>
      <c r="B1288" s="229" t="s">
        <v>235</v>
      </c>
      <c r="C1288" s="229" t="s">
        <v>208</v>
      </c>
      <c r="D1288" s="229" t="s">
        <v>24</v>
      </c>
      <c r="E1288" s="229" t="s">
        <v>76</v>
      </c>
      <c r="F1288" s="229"/>
      <c r="G1288">
        <v>8</v>
      </c>
    </row>
    <row r="1289" spans="1:7" hidden="1" x14ac:dyDescent="0.2">
      <c r="A1289" t="str">
        <f t="shared" si="24"/>
        <v>Rules ServicesJAVA: Consulta Banco de DadosASimplesSimples</v>
      </c>
      <c r="B1289" s="229" t="s">
        <v>235</v>
      </c>
      <c r="C1289" s="229" t="s">
        <v>208</v>
      </c>
      <c r="D1289" s="229" t="s">
        <v>25</v>
      </c>
      <c r="E1289" s="229" t="s">
        <v>26</v>
      </c>
      <c r="F1289" s="229" t="s">
        <v>26</v>
      </c>
      <c r="G1289">
        <v>2</v>
      </c>
    </row>
    <row r="1290" spans="1:7" hidden="1" x14ac:dyDescent="0.2">
      <c r="A1290" t="str">
        <f t="shared" si="24"/>
        <v>Rules ServicesJAVA: Consulta Banco de DadosASimplesMédio</v>
      </c>
      <c r="B1290" s="229" t="s">
        <v>235</v>
      </c>
      <c r="C1290" s="229" t="s">
        <v>208</v>
      </c>
      <c r="D1290" s="229" t="s">
        <v>25</v>
      </c>
      <c r="E1290" s="229" t="s">
        <v>26</v>
      </c>
      <c r="F1290" s="229" t="s">
        <v>75</v>
      </c>
      <c r="G1290">
        <v>4</v>
      </c>
    </row>
    <row r="1291" spans="1:7" hidden="1" x14ac:dyDescent="0.2">
      <c r="A1291" t="str">
        <f t="shared" si="24"/>
        <v>Rules ServicesJAVA: Consulta Banco de DadosASimplesComplexo</v>
      </c>
      <c r="B1291" s="229" t="s">
        <v>235</v>
      </c>
      <c r="C1291" s="229" t="s">
        <v>208</v>
      </c>
      <c r="D1291" s="229" t="s">
        <v>25</v>
      </c>
      <c r="E1291" s="229" t="s">
        <v>26</v>
      </c>
      <c r="F1291" s="229" t="s">
        <v>76</v>
      </c>
      <c r="G1291">
        <v>6</v>
      </c>
    </row>
    <row r="1292" spans="1:7" hidden="1" x14ac:dyDescent="0.2">
      <c r="A1292" t="str">
        <f t="shared" si="24"/>
        <v>Rules ServicesJAVA: Consulta Banco de DadosAMédioSimples</v>
      </c>
      <c r="B1292" s="229" t="s">
        <v>235</v>
      </c>
      <c r="C1292" s="229" t="s">
        <v>208</v>
      </c>
      <c r="D1292" s="229" t="s">
        <v>25</v>
      </c>
      <c r="E1292" s="229" t="s">
        <v>75</v>
      </c>
      <c r="F1292" s="229" t="s">
        <v>26</v>
      </c>
      <c r="G1292">
        <v>3</v>
      </c>
    </row>
    <row r="1293" spans="1:7" hidden="1" x14ac:dyDescent="0.2">
      <c r="A1293" t="str">
        <f t="shared" si="24"/>
        <v>Rules ServicesJAVA: Consulta Banco de DadosAMédioMédio</v>
      </c>
      <c r="B1293" s="229" t="s">
        <v>235</v>
      </c>
      <c r="C1293" s="229" t="s">
        <v>208</v>
      </c>
      <c r="D1293" s="229" t="s">
        <v>25</v>
      </c>
      <c r="E1293" s="229" t="s">
        <v>75</v>
      </c>
      <c r="F1293" s="229" t="s">
        <v>75</v>
      </c>
      <c r="G1293">
        <v>6</v>
      </c>
    </row>
    <row r="1294" spans="1:7" hidden="1" x14ac:dyDescent="0.2">
      <c r="A1294" t="str">
        <f t="shared" si="24"/>
        <v>Rules ServicesJAVA: Consulta Banco de DadosAMédioComplexo</v>
      </c>
      <c r="B1294" s="229" t="s">
        <v>235</v>
      </c>
      <c r="C1294" s="229" t="s">
        <v>208</v>
      </c>
      <c r="D1294" s="229" t="s">
        <v>25</v>
      </c>
      <c r="E1294" s="229" t="s">
        <v>75</v>
      </c>
      <c r="F1294" s="229" t="s">
        <v>76</v>
      </c>
      <c r="G1294">
        <v>8</v>
      </c>
    </row>
    <row r="1295" spans="1:7" hidden="1" x14ac:dyDescent="0.2">
      <c r="A1295" t="str">
        <f t="shared" si="24"/>
        <v>Rules ServicesJAVA: Consulta Banco de DadosAComplexoSimples</v>
      </c>
      <c r="B1295" s="229" t="s">
        <v>235</v>
      </c>
      <c r="C1295" s="229" t="s">
        <v>208</v>
      </c>
      <c r="D1295" s="229" t="s">
        <v>25</v>
      </c>
      <c r="E1295" s="229" t="s">
        <v>76</v>
      </c>
      <c r="F1295" s="229" t="s">
        <v>26</v>
      </c>
      <c r="G1295">
        <v>5</v>
      </c>
    </row>
    <row r="1296" spans="1:7" hidden="1" x14ac:dyDescent="0.2">
      <c r="A1296" t="str">
        <f t="shared" si="24"/>
        <v>Rules ServicesJAVA: Consulta Banco de DadosAComplexoMédio</v>
      </c>
      <c r="B1296" s="229" t="s">
        <v>235</v>
      </c>
      <c r="C1296" s="229" t="s">
        <v>208</v>
      </c>
      <c r="D1296" s="229" t="s">
        <v>25</v>
      </c>
      <c r="E1296" s="229" t="s">
        <v>76</v>
      </c>
      <c r="F1296" s="229" t="s">
        <v>75</v>
      </c>
      <c r="G1296">
        <v>8</v>
      </c>
    </row>
    <row r="1297" spans="1:7" hidden="1" x14ac:dyDescent="0.2">
      <c r="A1297" t="str">
        <f t="shared" si="24"/>
        <v>Rules ServicesJAVA: Consulta Banco de DadosAComplexoComplexo</v>
      </c>
      <c r="B1297" s="229" t="s">
        <v>235</v>
      </c>
      <c r="C1297" s="229" t="s">
        <v>208</v>
      </c>
      <c r="D1297" s="229" t="s">
        <v>25</v>
      </c>
      <c r="E1297" s="229" t="s">
        <v>76</v>
      </c>
      <c r="F1297" s="229" t="s">
        <v>76</v>
      </c>
      <c r="G1297">
        <v>10</v>
      </c>
    </row>
    <row r="1298" spans="1:7" hidden="1" x14ac:dyDescent="0.2">
      <c r="A1298" t="str">
        <f t="shared" si="24"/>
        <v>Rules ServicesJAVA: Geração de StubsNSimples</v>
      </c>
      <c r="B1298" s="229" t="s">
        <v>235</v>
      </c>
      <c r="C1298" s="229" t="s">
        <v>209</v>
      </c>
      <c r="D1298" s="229" t="s">
        <v>24</v>
      </c>
      <c r="E1298" s="229" t="s">
        <v>26</v>
      </c>
      <c r="F1298" s="229"/>
      <c r="G1298">
        <v>1</v>
      </c>
    </row>
    <row r="1299" spans="1:7" hidden="1" x14ac:dyDescent="0.2">
      <c r="A1299" t="str">
        <f t="shared" si="24"/>
        <v>Rules ServicesJAVA: Geração de StubsNMédio</v>
      </c>
      <c r="B1299" s="229" t="s">
        <v>235</v>
      </c>
      <c r="C1299" s="229" t="s">
        <v>209</v>
      </c>
      <c r="D1299" s="229" t="s">
        <v>24</v>
      </c>
      <c r="E1299" s="229" t="s">
        <v>75</v>
      </c>
      <c r="F1299" s="229"/>
      <c r="G1299">
        <v>3</v>
      </c>
    </row>
    <row r="1300" spans="1:7" hidden="1" x14ac:dyDescent="0.2">
      <c r="A1300" t="str">
        <f t="shared" si="24"/>
        <v>Rules ServicesJAVA: Geração de StubsNComplexo</v>
      </c>
      <c r="B1300" s="229" t="s">
        <v>235</v>
      </c>
      <c r="C1300" s="229" t="s">
        <v>209</v>
      </c>
      <c r="D1300" s="229" t="s">
        <v>24</v>
      </c>
      <c r="E1300" s="229" t="s">
        <v>76</v>
      </c>
      <c r="F1300" s="229"/>
      <c r="G1300">
        <v>8</v>
      </c>
    </row>
    <row r="1301" spans="1:7" hidden="1" x14ac:dyDescent="0.2">
      <c r="A1301" t="str">
        <f t="shared" si="24"/>
        <v>Rules ServicesJAVA: Geração de StubsASimplesSimples</v>
      </c>
      <c r="B1301" s="229" t="s">
        <v>235</v>
      </c>
      <c r="C1301" s="229" t="s">
        <v>209</v>
      </c>
      <c r="D1301" s="229" t="s">
        <v>25</v>
      </c>
      <c r="E1301" s="229" t="s">
        <v>26</v>
      </c>
      <c r="F1301" s="229" t="s">
        <v>26</v>
      </c>
      <c r="G1301">
        <v>1</v>
      </c>
    </row>
    <row r="1302" spans="1:7" hidden="1" x14ac:dyDescent="0.2">
      <c r="A1302" t="str">
        <f t="shared" si="24"/>
        <v>Rules ServicesJAVA: Geração de StubsASimplesMédio</v>
      </c>
      <c r="B1302" s="229" t="s">
        <v>235</v>
      </c>
      <c r="C1302" s="229" t="s">
        <v>209</v>
      </c>
      <c r="D1302" s="229" t="s">
        <v>25</v>
      </c>
      <c r="E1302" s="229" t="s">
        <v>26</v>
      </c>
      <c r="F1302" s="229" t="s">
        <v>75</v>
      </c>
      <c r="G1302">
        <v>2</v>
      </c>
    </row>
    <row r="1303" spans="1:7" hidden="1" x14ac:dyDescent="0.2">
      <c r="A1303" t="str">
        <f t="shared" si="24"/>
        <v>Rules ServicesJAVA: Geração de StubsASimplesComplexo</v>
      </c>
      <c r="B1303" s="229" t="s">
        <v>235</v>
      </c>
      <c r="C1303" s="229" t="s">
        <v>209</v>
      </c>
      <c r="D1303" s="229" t="s">
        <v>25</v>
      </c>
      <c r="E1303" s="229" t="s">
        <v>26</v>
      </c>
      <c r="F1303" s="229" t="s">
        <v>76</v>
      </c>
      <c r="G1303">
        <v>3</v>
      </c>
    </row>
    <row r="1304" spans="1:7" hidden="1" x14ac:dyDescent="0.2">
      <c r="A1304" t="str">
        <f t="shared" si="24"/>
        <v>Rules ServicesJAVA: Geração de StubsAMédioSimples</v>
      </c>
      <c r="B1304" s="229" t="s">
        <v>235</v>
      </c>
      <c r="C1304" s="229" t="s">
        <v>209</v>
      </c>
      <c r="D1304" s="229" t="s">
        <v>25</v>
      </c>
      <c r="E1304" s="229" t="s">
        <v>75</v>
      </c>
      <c r="F1304" s="229" t="s">
        <v>26</v>
      </c>
      <c r="G1304">
        <v>2</v>
      </c>
    </row>
    <row r="1305" spans="1:7" hidden="1" x14ac:dyDescent="0.2">
      <c r="A1305" t="str">
        <f t="shared" si="24"/>
        <v>Rules ServicesJAVA: Geração de StubsAMédioMédio</v>
      </c>
      <c r="B1305" s="229" t="s">
        <v>235</v>
      </c>
      <c r="C1305" s="229" t="s">
        <v>209</v>
      </c>
      <c r="D1305" s="229" t="s">
        <v>25</v>
      </c>
      <c r="E1305" s="229" t="s">
        <v>75</v>
      </c>
      <c r="F1305" s="229" t="s">
        <v>75</v>
      </c>
      <c r="G1305">
        <v>3</v>
      </c>
    </row>
    <row r="1306" spans="1:7" hidden="1" x14ac:dyDescent="0.2">
      <c r="A1306" t="str">
        <f t="shared" si="24"/>
        <v>Rules ServicesJAVA: Geração de StubsAMédioComplexo</v>
      </c>
      <c r="B1306" s="229" t="s">
        <v>235</v>
      </c>
      <c r="C1306" s="229" t="s">
        <v>209</v>
      </c>
      <c r="D1306" s="229" t="s">
        <v>25</v>
      </c>
      <c r="E1306" s="229" t="s">
        <v>75</v>
      </c>
      <c r="F1306" s="229" t="s">
        <v>76</v>
      </c>
      <c r="G1306">
        <v>5</v>
      </c>
    </row>
    <row r="1307" spans="1:7" hidden="1" x14ac:dyDescent="0.2">
      <c r="A1307" t="str">
        <f t="shared" si="24"/>
        <v>Rules ServicesJAVA: Geração de StubsAComplexoSimples</v>
      </c>
      <c r="B1307" s="229" t="s">
        <v>235</v>
      </c>
      <c r="C1307" s="229" t="s">
        <v>209</v>
      </c>
      <c r="D1307" s="229" t="s">
        <v>25</v>
      </c>
      <c r="E1307" s="229" t="s">
        <v>76</v>
      </c>
      <c r="F1307" s="229" t="s">
        <v>26</v>
      </c>
      <c r="G1307">
        <v>4</v>
      </c>
    </row>
    <row r="1308" spans="1:7" hidden="1" x14ac:dyDescent="0.2">
      <c r="A1308" t="str">
        <f t="shared" si="24"/>
        <v>Rules ServicesJAVA: Geração de StubsAComplexoMédio</v>
      </c>
      <c r="B1308" s="229" t="s">
        <v>235</v>
      </c>
      <c r="C1308" s="229" t="s">
        <v>209</v>
      </c>
      <c r="D1308" s="229" t="s">
        <v>25</v>
      </c>
      <c r="E1308" s="229" t="s">
        <v>76</v>
      </c>
      <c r="F1308" s="229" t="s">
        <v>75</v>
      </c>
      <c r="G1308">
        <v>6</v>
      </c>
    </row>
    <row r="1309" spans="1:7" hidden="1" x14ac:dyDescent="0.2">
      <c r="A1309" t="str">
        <f t="shared" si="24"/>
        <v>Rules ServicesJAVA: Geração de StubsAComplexoComplexo</v>
      </c>
      <c r="B1309" s="229" t="s">
        <v>235</v>
      </c>
      <c r="C1309" s="229" t="s">
        <v>209</v>
      </c>
      <c r="D1309" s="229" t="s">
        <v>25</v>
      </c>
      <c r="E1309" s="229" t="s">
        <v>76</v>
      </c>
      <c r="F1309" s="229" t="s">
        <v>76</v>
      </c>
      <c r="G1309">
        <v>8</v>
      </c>
    </row>
    <row r="1310" spans="1:7" hidden="1" x14ac:dyDescent="0.2">
      <c r="A1310" t="str">
        <f t="shared" si="24"/>
        <v>Rules ServicesJSPNSimples</v>
      </c>
      <c r="B1310" s="229" t="s">
        <v>235</v>
      </c>
      <c r="C1310" s="229" t="s">
        <v>210</v>
      </c>
      <c r="D1310" s="229" t="s">
        <v>24</v>
      </c>
      <c r="E1310" s="229" t="s">
        <v>26</v>
      </c>
      <c r="F1310" s="229"/>
      <c r="G1310">
        <v>12</v>
      </c>
    </row>
    <row r="1311" spans="1:7" hidden="1" x14ac:dyDescent="0.2">
      <c r="A1311" t="str">
        <f t="shared" si="24"/>
        <v>Rules ServicesJSPNMédio</v>
      </c>
      <c r="B1311" s="229" t="s">
        <v>235</v>
      </c>
      <c r="C1311" s="229" t="s">
        <v>210</v>
      </c>
      <c r="D1311" s="229" t="s">
        <v>24</v>
      </c>
      <c r="E1311" s="229" t="s">
        <v>75</v>
      </c>
      <c r="F1311" s="229"/>
      <c r="G1311">
        <v>18</v>
      </c>
    </row>
    <row r="1312" spans="1:7" hidden="1" x14ac:dyDescent="0.2">
      <c r="A1312" t="str">
        <f t="shared" si="24"/>
        <v>Rules ServicesJSPNComplexo</v>
      </c>
      <c r="B1312" s="229" t="s">
        <v>235</v>
      </c>
      <c r="C1312" s="229" t="s">
        <v>210</v>
      </c>
      <c r="D1312" s="229" t="s">
        <v>24</v>
      </c>
      <c r="E1312" s="229" t="s">
        <v>76</v>
      </c>
      <c r="F1312" s="229"/>
      <c r="G1312">
        <v>24</v>
      </c>
    </row>
    <row r="1313" spans="1:7" hidden="1" x14ac:dyDescent="0.2">
      <c r="A1313" t="str">
        <f t="shared" si="24"/>
        <v>Rules ServicesJSPASimplesSimples</v>
      </c>
      <c r="B1313" s="229" t="s">
        <v>235</v>
      </c>
      <c r="C1313" s="229" t="s">
        <v>210</v>
      </c>
      <c r="D1313" s="229" t="s">
        <v>25</v>
      </c>
      <c r="E1313" s="229" t="s">
        <v>26</v>
      </c>
      <c r="F1313" s="229" t="s">
        <v>26</v>
      </c>
      <c r="G1313">
        <v>5</v>
      </c>
    </row>
    <row r="1314" spans="1:7" hidden="1" x14ac:dyDescent="0.2">
      <c r="A1314" t="str">
        <f t="shared" si="24"/>
        <v>Rules ServicesJSPASimplesMédio</v>
      </c>
      <c r="B1314" s="229" t="s">
        <v>235</v>
      </c>
      <c r="C1314" s="229" t="s">
        <v>210</v>
      </c>
      <c r="D1314" s="229" t="s">
        <v>25</v>
      </c>
      <c r="E1314" s="229" t="s">
        <v>26</v>
      </c>
      <c r="F1314" s="229" t="s">
        <v>75</v>
      </c>
      <c r="G1314">
        <v>8</v>
      </c>
    </row>
    <row r="1315" spans="1:7" hidden="1" x14ac:dyDescent="0.2">
      <c r="A1315" t="str">
        <f t="shared" si="24"/>
        <v>Rules ServicesJSPASimplesComplexo</v>
      </c>
      <c r="B1315" s="229" t="s">
        <v>235</v>
      </c>
      <c r="C1315" s="229" t="s">
        <v>210</v>
      </c>
      <c r="D1315" s="229" t="s">
        <v>25</v>
      </c>
      <c r="E1315" s="229" t="s">
        <v>26</v>
      </c>
      <c r="F1315" s="229" t="s">
        <v>76</v>
      </c>
      <c r="G1315">
        <v>10</v>
      </c>
    </row>
    <row r="1316" spans="1:7" hidden="1" x14ac:dyDescent="0.2">
      <c r="A1316" t="str">
        <f t="shared" si="24"/>
        <v>Rules ServicesJSPAMédioSimples</v>
      </c>
      <c r="B1316" s="229" t="s">
        <v>235</v>
      </c>
      <c r="C1316" s="229" t="s">
        <v>210</v>
      </c>
      <c r="D1316" s="229" t="s">
        <v>25</v>
      </c>
      <c r="E1316" s="229" t="s">
        <v>75</v>
      </c>
      <c r="F1316" s="229" t="s">
        <v>26</v>
      </c>
      <c r="G1316">
        <v>8</v>
      </c>
    </row>
    <row r="1317" spans="1:7" hidden="1" x14ac:dyDescent="0.2">
      <c r="A1317" t="str">
        <f t="shared" si="24"/>
        <v>Rules ServicesJSPAMédioMédio</v>
      </c>
      <c r="B1317" s="229" t="s">
        <v>235</v>
      </c>
      <c r="C1317" s="229" t="s">
        <v>210</v>
      </c>
      <c r="D1317" s="229" t="s">
        <v>25</v>
      </c>
      <c r="E1317" s="229" t="s">
        <v>75</v>
      </c>
      <c r="F1317" s="229" t="s">
        <v>75</v>
      </c>
      <c r="G1317">
        <v>10</v>
      </c>
    </row>
    <row r="1318" spans="1:7" hidden="1" x14ac:dyDescent="0.2">
      <c r="A1318" t="str">
        <f t="shared" si="24"/>
        <v>Rules ServicesJSPAMédioComplexo</v>
      </c>
      <c r="B1318" s="229" t="s">
        <v>235</v>
      </c>
      <c r="C1318" s="229" t="s">
        <v>210</v>
      </c>
      <c r="D1318" s="229" t="s">
        <v>25</v>
      </c>
      <c r="E1318" s="229" t="s">
        <v>75</v>
      </c>
      <c r="F1318" s="229" t="s">
        <v>76</v>
      </c>
      <c r="G1318">
        <v>12</v>
      </c>
    </row>
    <row r="1319" spans="1:7" hidden="1" x14ac:dyDescent="0.2">
      <c r="A1319" t="str">
        <f t="shared" si="24"/>
        <v>Rules ServicesJSPAComplexoSimples</v>
      </c>
      <c r="B1319" s="229" t="s">
        <v>235</v>
      </c>
      <c r="C1319" s="229" t="s">
        <v>210</v>
      </c>
      <c r="D1319" s="229" t="s">
        <v>25</v>
      </c>
      <c r="E1319" s="229" t="s">
        <v>76</v>
      </c>
      <c r="F1319" s="229" t="s">
        <v>26</v>
      </c>
      <c r="G1319">
        <v>6</v>
      </c>
    </row>
    <row r="1320" spans="1:7" hidden="1" x14ac:dyDescent="0.2">
      <c r="A1320" t="str">
        <f t="shared" si="24"/>
        <v>Rules ServicesJSPAComplexoMédio</v>
      </c>
      <c r="B1320" s="229" t="s">
        <v>235</v>
      </c>
      <c r="C1320" s="229" t="s">
        <v>210</v>
      </c>
      <c r="D1320" s="229" t="s">
        <v>25</v>
      </c>
      <c r="E1320" s="229" t="s">
        <v>76</v>
      </c>
      <c r="F1320" s="229" t="s">
        <v>75</v>
      </c>
      <c r="G1320">
        <v>12</v>
      </c>
    </row>
    <row r="1321" spans="1:7" hidden="1" x14ac:dyDescent="0.2">
      <c r="A1321" t="str">
        <f t="shared" si="24"/>
        <v>Rules ServicesJSPAComplexoComplexo</v>
      </c>
      <c r="B1321" s="229" t="s">
        <v>235</v>
      </c>
      <c r="C1321" s="229" t="s">
        <v>210</v>
      </c>
      <c r="D1321" s="229" t="s">
        <v>25</v>
      </c>
      <c r="E1321" s="229" t="s">
        <v>76</v>
      </c>
      <c r="F1321" s="229" t="s">
        <v>76</v>
      </c>
      <c r="G1321">
        <v>22</v>
      </c>
    </row>
    <row r="1322" spans="1:7" hidden="1" x14ac:dyDescent="0.2">
      <c r="A1322" t="str">
        <f t="shared" si="24"/>
        <v>Rules ServicesConfiguração Projeto/MóduloNSimples</v>
      </c>
      <c r="B1322" s="229" t="s">
        <v>235</v>
      </c>
      <c r="C1322" s="229" t="s">
        <v>221</v>
      </c>
      <c r="D1322" s="229" t="s">
        <v>24</v>
      </c>
      <c r="E1322" s="229" t="s">
        <v>26</v>
      </c>
      <c r="F1322" s="229"/>
      <c r="G1322">
        <v>2</v>
      </c>
    </row>
    <row r="1323" spans="1:7" hidden="1" x14ac:dyDescent="0.2">
      <c r="A1323" t="str">
        <f t="shared" si="24"/>
        <v>Rules ServicesConfiguração Projeto/MóduloNMédio</v>
      </c>
      <c r="B1323" s="229" t="s">
        <v>235</v>
      </c>
      <c r="C1323" s="229" t="s">
        <v>221</v>
      </c>
      <c r="D1323" s="229" t="s">
        <v>24</v>
      </c>
      <c r="E1323" s="229" t="s">
        <v>75</v>
      </c>
      <c r="F1323" s="229"/>
      <c r="G1323">
        <v>4</v>
      </c>
    </row>
    <row r="1324" spans="1:7" hidden="1" x14ac:dyDescent="0.2">
      <c r="A1324" t="str">
        <f t="shared" si="24"/>
        <v>Rules ServicesConfiguração Projeto/MóduloNComplexo</v>
      </c>
      <c r="B1324" s="229" t="s">
        <v>235</v>
      </c>
      <c r="C1324" s="229" t="s">
        <v>221</v>
      </c>
      <c r="D1324" s="229" t="s">
        <v>24</v>
      </c>
      <c r="E1324" s="229" t="s">
        <v>76</v>
      </c>
      <c r="F1324" s="229"/>
      <c r="G1324">
        <v>8</v>
      </c>
    </row>
    <row r="1325" spans="1:7" hidden="1" x14ac:dyDescent="0.2">
      <c r="A1325" t="str">
        <f t="shared" si="24"/>
        <v>Rules ServicesConfiguração Projeto/MóduloASimplesSimples</v>
      </c>
      <c r="B1325" s="229" t="s">
        <v>235</v>
      </c>
      <c r="C1325" s="229" t="s">
        <v>221</v>
      </c>
      <c r="D1325" s="229" t="s">
        <v>25</v>
      </c>
      <c r="E1325" s="229" t="s">
        <v>26</v>
      </c>
      <c r="F1325" s="229" t="s">
        <v>26</v>
      </c>
      <c r="G1325">
        <v>1</v>
      </c>
    </row>
    <row r="1326" spans="1:7" hidden="1" x14ac:dyDescent="0.2">
      <c r="A1326" t="str">
        <f t="shared" si="24"/>
        <v>Rules ServicesConfiguração Projeto/MóduloASimplesMédio</v>
      </c>
      <c r="B1326" s="229" t="s">
        <v>235</v>
      </c>
      <c r="C1326" s="229" t="s">
        <v>221</v>
      </c>
      <c r="D1326" s="229" t="s">
        <v>25</v>
      </c>
      <c r="E1326" s="229" t="s">
        <v>26</v>
      </c>
      <c r="F1326" s="229" t="s">
        <v>75</v>
      </c>
      <c r="G1326">
        <v>2</v>
      </c>
    </row>
    <row r="1327" spans="1:7" hidden="1" x14ac:dyDescent="0.2">
      <c r="A1327" t="str">
        <f t="shared" si="24"/>
        <v>Rules ServicesConfiguração Projeto/MóduloASimplesComplexo</v>
      </c>
      <c r="B1327" s="229" t="s">
        <v>235</v>
      </c>
      <c r="C1327" s="229" t="s">
        <v>221</v>
      </c>
      <c r="D1327" s="229" t="s">
        <v>25</v>
      </c>
      <c r="E1327" s="229" t="s">
        <v>26</v>
      </c>
      <c r="F1327" s="229" t="s">
        <v>76</v>
      </c>
      <c r="G1327">
        <v>4</v>
      </c>
    </row>
    <row r="1328" spans="1:7" hidden="1" x14ac:dyDescent="0.2">
      <c r="A1328" t="str">
        <f t="shared" si="24"/>
        <v>Rules ServicesConfiguração Projeto/MóduloAMédioSimples</v>
      </c>
      <c r="B1328" s="229" t="s">
        <v>235</v>
      </c>
      <c r="C1328" s="229" t="s">
        <v>221</v>
      </c>
      <c r="D1328" s="229" t="s">
        <v>25</v>
      </c>
      <c r="E1328" s="229" t="s">
        <v>75</v>
      </c>
      <c r="F1328" s="229" t="s">
        <v>26</v>
      </c>
      <c r="G1328">
        <v>2</v>
      </c>
    </row>
    <row r="1329" spans="1:7" hidden="1" x14ac:dyDescent="0.2">
      <c r="A1329" t="str">
        <f t="shared" si="24"/>
        <v>Rules ServicesConfiguração Projeto/MóduloAMédioMédio</v>
      </c>
      <c r="B1329" s="229" t="s">
        <v>235</v>
      </c>
      <c r="C1329" s="229" t="s">
        <v>221</v>
      </c>
      <c r="D1329" s="229" t="s">
        <v>25</v>
      </c>
      <c r="E1329" s="229" t="s">
        <v>75</v>
      </c>
      <c r="F1329" s="229" t="s">
        <v>75</v>
      </c>
      <c r="G1329">
        <v>4</v>
      </c>
    </row>
    <row r="1330" spans="1:7" hidden="1" x14ac:dyDescent="0.2">
      <c r="A1330" t="str">
        <f t="shared" si="24"/>
        <v>Rules ServicesConfiguração Projeto/MóduloAMédioComplexo</v>
      </c>
      <c r="B1330" s="229" t="s">
        <v>235</v>
      </c>
      <c r="C1330" s="229" t="s">
        <v>221</v>
      </c>
      <c r="D1330" s="229" t="s">
        <v>25</v>
      </c>
      <c r="E1330" s="229" t="s">
        <v>75</v>
      </c>
      <c r="F1330" s="229" t="s">
        <v>76</v>
      </c>
      <c r="G1330">
        <v>5</v>
      </c>
    </row>
    <row r="1331" spans="1:7" hidden="1" x14ac:dyDescent="0.2">
      <c r="A1331" t="str">
        <f t="shared" si="24"/>
        <v>Rules ServicesConfiguração Projeto/MóduloAComplexoSimples</v>
      </c>
      <c r="B1331" s="229" t="s">
        <v>235</v>
      </c>
      <c r="C1331" s="229" t="s">
        <v>221</v>
      </c>
      <c r="D1331" s="229" t="s">
        <v>25</v>
      </c>
      <c r="E1331" s="229" t="s">
        <v>76</v>
      </c>
      <c r="F1331" s="229" t="s">
        <v>26</v>
      </c>
      <c r="G1331">
        <v>5</v>
      </c>
    </row>
    <row r="1332" spans="1:7" hidden="1" x14ac:dyDescent="0.2">
      <c r="A1332" t="str">
        <f t="shared" si="24"/>
        <v>Rules ServicesConfiguração Projeto/MóduloAComplexoMédio</v>
      </c>
      <c r="B1332" s="229" t="s">
        <v>235</v>
      </c>
      <c r="C1332" s="229" t="s">
        <v>221</v>
      </c>
      <c r="D1332" s="229" t="s">
        <v>25</v>
      </c>
      <c r="E1332" s="229" t="s">
        <v>76</v>
      </c>
      <c r="F1332" s="229" t="s">
        <v>75</v>
      </c>
      <c r="G1332">
        <v>7</v>
      </c>
    </row>
    <row r="1333" spans="1:7" hidden="1" x14ac:dyDescent="0.2">
      <c r="A1333" t="str">
        <f t="shared" si="24"/>
        <v>Rules ServicesConfiguração Projeto/MóduloAComplexoComplexo</v>
      </c>
      <c r="B1333" s="229" t="s">
        <v>235</v>
      </c>
      <c r="C1333" s="229" t="s">
        <v>221</v>
      </c>
      <c r="D1333" s="229" t="s">
        <v>25</v>
      </c>
      <c r="E1333" s="229" t="s">
        <v>76</v>
      </c>
      <c r="F1333" s="229" t="s">
        <v>76</v>
      </c>
      <c r="G1333">
        <v>8</v>
      </c>
    </row>
    <row r="1334" spans="1:7" hidden="1" x14ac:dyDescent="0.2">
      <c r="A1334" t="str">
        <f t="shared" si="24"/>
        <v>SCM VASRegraDroolsNSimples</v>
      </c>
      <c r="B1334" s="229" t="s">
        <v>236</v>
      </c>
      <c r="C1334" s="229" t="s">
        <v>218</v>
      </c>
      <c r="D1334" s="229" t="s">
        <v>24</v>
      </c>
      <c r="E1334" s="229" t="s">
        <v>26</v>
      </c>
      <c r="F1334" s="229"/>
      <c r="G1334">
        <v>1</v>
      </c>
    </row>
    <row r="1335" spans="1:7" hidden="1" x14ac:dyDescent="0.2">
      <c r="A1335" t="str">
        <f t="shared" si="24"/>
        <v>SCM VASRegraDroolsNMédio</v>
      </c>
      <c r="B1335" s="229" t="s">
        <v>236</v>
      </c>
      <c r="C1335" s="229" t="s">
        <v>218</v>
      </c>
      <c r="D1335" s="229" t="s">
        <v>24</v>
      </c>
      <c r="E1335" s="229" t="s">
        <v>75</v>
      </c>
      <c r="F1335" s="229"/>
      <c r="G1335">
        <v>3</v>
      </c>
    </row>
    <row r="1336" spans="1:7" hidden="1" x14ac:dyDescent="0.2">
      <c r="A1336" t="str">
        <f t="shared" si="24"/>
        <v>SCM VASRegraDroolsNComplexo</v>
      </c>
      <c r="B1336" s="229" t="s">
        <v>236</v>
      </c>
      <c r="C1336" s="229" t="s">
        <v>218</v>
      </c>
      <c r="D1336" s="229" t="s">
        <v>24</v>
      </c>
      <c r="E1336" s="229" t="s">
        <v>76</v>
      </c>
      <c r="F1336" s="229"/>
      <c r="G1336">
        <v>6</v>
      </c>
    </row>
    <row r="1337" spans="1:7" hidden="1" x14ac:dyDescent="0.2">
      <c r="A1337" t="str">
        <f t="shared" si="24"/>
        <v>SCM VASRegraDroolsASimplesSimples</v>
      </c>
      <c r="B1337" s="229" t="s">
        <v>236</v>
      </c>
      <c r="C1337" s="229" t="s">
        <v>218</v>
      </c>
      <c r="D1337" s="229" t="s">
        <v>25</v>
      </c>
      <c r="E1337" s="229" t="s">
        <v>26</v>
      </c>
      <c r="F1337" s="229" t="s">
        <v>26</v>
      </c>
      <c r="G1337">
        <v>2</v>
      </c>
    </row>
    <row r="1338" spans="1:7" hidden="1" x14ac:dyDescent="0.2">
      <c r="A1338" t="str">
        <f t="shared" si="24"/>
        <v>SCM VASRegraDroolsASimplesMédio</v>
      </c>
      <c r="B1338" s="229" t="s">
        <v>236</v>
      </c>
      <c r="C1338" s="229" t="s">
        <v>218</v>
      </c>
      <c r="D1338" s="229" t="s">
        <v>25</v>
      </c>
      <c r="E1338" s="229" t="s">
        <v>26</v>
      </c>
      <c r="F1338" s="229" t="s">
        <v>75</v>
      </c>
      <c r="G1338">
        <v>4</v>
      </c>
    </row>
    <row r="1339" spans="1:7" hidden="1" x14ac:dyDescent="0.2">
      <c r="A1339" t="str">
        <f t="shared" si="24"/>
        <v>SCM VASRegraDroolsASimplesComplexo</v>
      </c>
      <c r="B1339" s="229" t="s">
        <v>236</v>
      </c>
      <c r="C1339" s="229" t="s">
        <v>218</v>
      </c>
      <c r="D1339" s="229" t="s">
        <v>25</v>
      </c>
      <c r="E1339" s="229" t="s">
        <v>26</v>
      </c>
      <c r="F1339" s="229" t="s">
        <v>76</v>
      </c>
      <c r="G1339">
        <v>6</v>
      </c>
    </row>
    <row r="1340" spans="1:7" hidden="1" x14ac:dyDescent="0.2">
      <c r="A1340" t="str">
        <f t="shared" si="24"/>
        <v>SCM VASRegraDroolsAMédioSimples</v>
      </c>
      <c r="B1340" s="229" t="s">
        <v>236</v>
      </c>
      <c r="C1340" s="229" t="s">
        <v>218</v>
      </c>
      <c r="D1340" s="229" t="s">
        <v>25</v>
      </c>
      <c r="E1340" s="229" t="s">
        <v>75</v>
      </c>
      <c r="F1340" s="229" t="s">
        <v>26</v>
      </c>
      <c r="G1340">
        <v>3</v>
      </c>
    </row>
    <row r="1341" spans="1:7" hidden="1" x14ac:dyDescent="0.2">
      <c r="A1341" t="str">
        <f t="shared" si="24"/>
        <v>SCM VASRegraDroolsAMédioMédio</v>
      </c>
      <c r="B1341" s="229" t="s">
        <v>236</v>
      </c>
      <c r="C1341" s="229" t="s">
        <v>218</v>
      </c>
      <c r="D1341" s="229" t="s">
        <v>25</v>
      </c>
      <c r="E1341" s="229" t="s">
        <v>75</v>
      </c>
      <c r="F1341" s="229" t="s">
        <v>75</v>
      </c>
      <c r="G1341">
        <v>6</v>
      </c>
    </row>
    <row r="1342" spans="1:7" hidden="1" x14ac:dyDescent="0.2">
      <c r="A1342" t="str">
        <f t="shared" si="24"/>
        <v>SCM VASRegraDroolsAMédioComplexo</v>
      </c>
      <c r="B1342" s="229" t="s">
        <v>236</v>
      </c>
      <c r="C1342" s="229" t="s">
        <v>218</v>
      </c>
      <c r="D1342" s="229" t="s">
        <v>25</v>
      </c>
      <c r="E1342" s="229" t="s">
        <v>75</v>
      </c>
      <c r="F1342" s="229" t="s">
        <v>76</v>
      </c>
      <c r="G1342">
        <v>8</v>
      </c>
    </row>
    <row r="1343" spans="1:7" hidden="1" x14ac:dyDescent="0.2">
      <c r="A1343" t="str">
        <f t="shared" si="24"/>
        <v>SCM VASRegraDroolsAComplexoSimples</v>
      </c>
      <c r="B1343" s="229" t="s">
        <v>236</v>
      </c>
      <c r="C1343" s="229" t="s">
        <v>218</v>
      </c>
      <c r="D1343" s="229" t="s">
        <v>25</v>
      </c>
      <c r="E1343" s="229" t="s">
        <v>76</v>
      </c>
      <c r="F1343" s="229" t="s">
        <v>26</v>
      </c>
      <c r="G1343">
        <v>6</v>
      </c>
    </row>
    <row r="1344" spans="1:7" hidden="1" x14ac:dyDescent="0.2">
      <c r="A1344" t="str">
        <f t="shared" si="24"/>
        <v>SCM VASRegraDroolsAComplexoMédio</v>
      </c>
      <c r="B1344" s="229" t="s">
        <v>236</v>
      </c>
      <c r="C1344" s="229" t="s">
        <v>218</v>
      </c>
      <c r="D1344" s="229" t="s">
        <v>25</v>
      </c>
      <c r="E1344" s="229" t="s">
        <v>76</v>
      </c>
      <c r="F1344" s="229" t="s">
        <v>75</v>
      </c>
      <c r="G1344">
        <v>8</v>
      </c>
    </row>
    <row r="1345" spans="1:7" hidden="1" x14ac:dyDescent="0.2">
      <c r="A1345" t="str">
        <f t="shared" ref="A1345:A1408" si="25">B1345&amp;C1345&amp;D1345&amp;E1345&amp;F1345</f>
        <v>SCM VASRegraDroolsAComplexoComplexo</v>
      </c>
      <c r="B1345" s="229" t="s">
        <v>236</v>
      </c>
      <c r="C1345" s="229" t="s">
        <v>218</v>
      </c>
      <c r="D1345" s="229" t="s">
        <v>25</v>
      </c>
      <c r="E1345" s="229" t="s">
        <v>76</v>
      </c>
      <c r="F1345" s="229" t="s">
        <v>76</v>
      </c>
      <c r="G1345">
        <v>12</v>
      </c>
    </row>
    <row r="1346" spans="1:7" hidden="1" x14ac:dyDescent="0.2">
      <c r="A1346" t="str">
        <f t="shared" si="25"/>
        <v>SCM VASJUnitNSimples</v>
      </c>
      <c r="B1346" s="229" t="s">
        <v>236</v>
      </c>
      <c r="C1346" s="229" t="s">
        <v>219</v>
      </c>
      <c r="D1346" s="229" t="s">
        <v>24</v>
      </c>
      <c r="E1346" s="229" t="s">
        <v>26</v>
      </c>
      <c r="F1346" s="229"/>
      <c r="G1346">
        <v>1</v>
      </c>
    </row>
    <row r="1347" spans="1:7" hidden="1" x14ac:dyDescent="0.2">
      <c r="A1347" t="str">
        <f t="shared" si="25"/>
        <v>SCM VASJUnitNMédio</v>
      </c>
      <c r="B1347" s="229" t="s">
        <v>236</v>
      </c>
      <c r="C1347" s="229" t="s">
        <v>219</v>
      </c>
      <c r="D1347" s="229" t="s">
        <v>24</v>
      </c>
      <c r="E1347" s="229" t="s">
        <v>75</v>
      </c>
      <c r="F1347" s="229"/>
      <c r="G1347">
        <v>3</v>
      </c>
    </row>
    <row r="1348" spans="1:7" hidden="1" x14ac:dyDescent="0.2">
      <c r="A1348" t="str">
        <f t="shared" si="25"/>
        <v>SCM VASJUnitNComplexo</v>
      </c>
      <c r="B1348" s="229" t="s">
        <v>236</v>
      </c>
      <c r="C1348" s="229" t="s">
        <v>219</v>
      </c>
      <c r="D1348" s="229" t="s">
        <v>24</v>
      </c>
      <c r="E1348" s="229" t="s">
        <v>76</v>
      </c>
      <c r="F1348" s="229"/>
      <c r="G1348">
        <v>6</v>
      </c>
    </row>
    <row r="1349" spans="1:7" hidden="1" x14ac:dyDescent="0.2">
      <c r="A1349" t="str">
        <f t="shared" si="25"/>
        <v>SCM VASJUnitASimplesSimples</v>
      </c>
      <c r="B1349" s="229" t="s">
        <v>236</v>
      </c>
      <c r="C1349" s="229" t="s">
        <v>219</v>
      </c>
      <c r="D1349" s="229" t="s">
        <v>25</v>
      </c>
      <c r="E1349" s="229" t="s">
        <v>26</v>
      </c>
      <c r="F1349" s="229" t="s">
        <v>26</v>
      </c>
      <c r="G1349">
        <v>2</v>
      </c>
    </row>
    <row r="1350" spans="1:7" hidden="1" x14ac:dyDescent="0.2">
      <c r="A1350" t="str">
        <f t="shared" si="25"/>
        <v>SCM VASJUnitASimplesMédio</v>
      </c>
      <c r="B1350" s="229" t="s">
        <v>236</v>
      </c>
      <c r="C1350" s="229" t="s">
        <v>219</v>
      </c>
      <c r="D1350" s="229" t="s">
        <v>25</v>
      </c>
      <c r="E1350" s="229" t="s">
        <v>26</v>
      </c>
      <c r="F1350" s="229" t="s">
        <v>75</v>
      </c>
      <c r="G1350">
        <v>4</v>
      </c>
    </row>
    <row r="1351" spans="1:7" hidden="1" x14ac:dyDescent="0.2">
      <c r="A1351" t="str">
        <f t="shared" si="25"/>
        <v>SCM VASJUnitASimplesComplexo</v>
      </c>
      <c r="B1351" s="229" t="s">
        <v>236</v>
      </c>
      <c r="C1351" s="229" t="s">
        <v>219</v>
      </c>
      <c r="D1351" s="229" t="s">
        <v>25</v>
      </c>
      <c r="E1351" s="229" t="s">
        <v>26</v>
      </c>
      <c r="F1351" s="229" t="s">
        <v>76</v>
      </c>
      <c r="G1351">
        <v>5</v>
      </c>
    </row>
    <row r="1352" spans="1:7" hidden="1" x14ac:dyDescent="0.2">
      <c r="A1352" t="str">
        <f t="shared" si="25"/>
        <v>SCM VASJUnitAMédioSimples</v>
      </c>
      <c r="B1352" s="229" t="s">
        <v>236</v>
      </c>
      <c r="C1352" s="229" t="s">
        <v>219</v>
      </c>
      <c r="D1352" s="229" t="s">
        <v>25</v>
      </c>
      <c r="E1352" s="229" t="s">
        <v>75</v>
      </c>
      <c r="F1352" s="229" t="s">
        <v>26</v>
      </c>
      <c r="G1352">
        <v>3</v>
      </c>
    </row>
    <row r="1353" spans="1:7" hidden="1" x14ac:dyDescent="0.2">
      <c r="A1353" t="str">
        <f t="shared" si="25"/>
        <v>SCM VASJUnitAMédioMédio</v>
      </c>
      <c r="B1353" s="229" t="s">
        <v>236</v>
      </c>
      <c r="C1353" s="229" t="s">
        <v>219</v>
      </c>
      <c r="D1353" s="229" t="s">
        <v>25</v>
      </c>
      <c r="E1353" s="229" t="s">
        <v>75</v>
      </c>
      <c r="F1353" s="229" t="s">
        <v>75</v>
      </c>
      <c r="G1353">
        <v>5</v>
      </c>
    </row>
    <row r="1354" spans="1:7" hidden="1" x14ac:dyDescent="0.2">
      <c r="A1354" t="str">
        <f t="shared" si="25"/>
        <v>SCM VASJUnitAMédioComplexo</v>
      </c>
      <c r="B1354" s="229" t="s">
        <v>236</v>
      </c>
      <c r="C1354" s="229" t="s">
        <v>219</v>
      </c>
      <c r="D1354" s="229" t="s">
        <v>25</v>
      </c>
      <c r="E1354" s="229" t="s">
        <v>75</v>
      </c>
      <c r="F1354" s="229" t="s">
        <v>76</v>
      </c>
      <c r="G1354">
        <v>7</v>
      </c>
    </row>
    <row r="1355" spans="1:7" hidden="1" x14ac:dyDescent="0.2">
      <c r="A1355" t="str">
        <f t="shared" si="25"/>
        <v>SCM VASJUnitAComplexoSimples</v>
      </c>
      <c r="B1355" s="229" t="s">
        <v>236</v>
      </c>
      <c r="C1355" s="229" t="s">
        <v>219</v>
      </c>
      <c r="D1355" s="229" t="s">
        <v>25</v>
      </c>
      <c r="E1355" s="229" t="s">
        <v>76</v>
      </c>
      <c r="F1355" s="229" t="s">
        <v>26</v>
      </c>
      <c r="G1355">
        <v>4</v>
      </c>
    </row>
    <row r="1356" spans="1:7" hidden="1" x14ac:dyDescent="0.2">
      <c r="A1356" t="str">
        <f t="shared" si="25"/>
        <v>SCM VASJUnitAComplexoMédio</v>
      </c>
      <c r="B1356" s="229" t="s">
        <v>236</v>
      </c>
      <c r="C1356" s="229" t="s">
        <v>219</v>
      </c>
      <c r="D1356" s="229" t="s">
        <v>25</v>
      </c>
      <c r="E1356" s="229" t="s">
        <v>76</v>
      </c>
      <c r="F1356" s="229" t="s">
        <v>75</v>
      </c>
      <c r="G1356">
        <v>6</v>
      </c>
    </row>
    <row r="1357" spans="1:7" hidden="1" x14ac:dyDescent="0.2">
      <c r="A1357" t="str">
        <f t="shared" si="25"/>
        <v>SCM VASJUnitAComplexoComplexo</v>
      </c>
      <c r="B1357" s="229" t="s">
        <v>236</v>
      </c>
      <c r="C1357" s="229" t="s">
        <v>219</v>
      </c>
      <c r="D1357" s="229" t="s">
        <v>25</v>
      </c>
      <c r="E1357" s="229" t="s">
        <v>76</v>
      </c>
      <c r="F1357" s="229" t="s">
        <v>76</v>
      </c>
      <c r="G1357">
        <v>8</v>
      </c>
    </row>
    <row r="1358" spans="1:7" hidden="1" x14ac:dyDescent="0.2">
      <c r="A1358" t="str">
        <f t="shared" si="25"/>
        <v>SCM VASBanco de Dados (DML, DDL)NSimples</v>
      </c>
      <c r="B1358" s="229" t="s">
        <v>236</v>
      </c>
      <c r="C1358" s="229" t="s">
        <v>220</v>
      </c>
      <c r="D1358" s="229" t="s">
        <v>24</v>
      </c>
      <c r="E1358" s="229" t="s">
        <v>26</v>
      </c>
      <c r="F1358" s="229"/>
      <c r="G1358">
        <v>1</v>
      </c>
    </row>
    <row r="1359" spans="1:7" hidden="1" x14ac:dyDescent="0.2">
      <c r="A1359" t="str">
        <f t="shared" si="25"/>
        <v>SCM VASBanco de Dados (DML, DDL)NMédio</v>
      </c>
      <c r="B1359" s="229" t="s">
        <v>236</v>
      </c>
      <c r="C1359" s="229" t="s">
        <v>220</v>
      </c>
      <c r="D1359" s="229" t="s">
        <v>24</v>
      </c>
      <c r="E1359" s="229" t="s">
        <v>75</v>
      </c>
      <c r="F1359" s="229"/>
      <c r="G1359">
        <v>3</v>
      </c>
    </row>
    <row r="1360" spans="1:7" hidden="1" x14ac:dyDescent="0.2">
      <c r="A1360" t="str">
        <f t="shared" si="25"/>
        <v>SCM VASBanco de Dados (DML, DDL)NComplexo</v>
      </c>
      <c r="B1360" s="229" t="s">
        <v>236</v>
      </c>
      <c r="C1360" s="229" t="s">
        <v>220</v>
      </c>
      <c r="D1360" s="229" t="s">
        <v>24</v>
      </c>
      <c r="E1360" s="229" t="s">
        <v>76</v>
      </c>
      <c r="F1360" s="229"/>
      <c r="G1360">
        <v>5</v>
      </c>
    </row>
    <row r="1361" spans="1:7" hidden="1" x14ac:dyDescent="0.2">
      <c r="A1361" t="str">
        <f t="shared" si="25"/>
        <v>SCM VASBanco de Dados (DML, DDL)ASimplesSimples</v>
      </c>
      <c r="B1361" s="229" t="s">
        <v>236</v>
      </c>
      <c r="C1361" s="229" t="s">
        <v>220</v>
      </c>
      <c r="D1361" s="229" t="s">
        <v>25</v>
      </c>
      <c r="E1361" s="229" t="s">
        <v>26</v>
      </c>
      <c r="F1361" s="229" t="s">
        <v>26</v>
      </c>
      <c r="G1361">
        <v>1</v>
      </c>
    </row>
    <row r="1362" spans="1:7" hidden="1" x14ac:dyDescent="0.2">
      <c r="A1362" t="str">
        <f t="shared" si="25"/>
        <v>SCM VASBanco de Dados (DML, DDL)ASimplesMédio</v>
      </c>
      <c r="B1362" s="229" t="s">
        <v>236</v>
      </c>
      <c r="C1362" s="229" t="s">
        <v>220</v>
      </c>
      <c r="D1362" s="229" t="s">
        <v>25</v>
      </c>
      <c r="E1362" s="229" t="s">
        <v>26</v>
      </c>
      <c r="F1362" s="229" t="s">
        <v>75</v>
      </c>
      <c r="G1362">
        <v>3</v>
      </c>
    </row>
    <row r="1363" spans="1:7" hidden="1" x14ac:dyDescent="0.2">
      <c r="A1363" t="str">
        <f t="shared" si="25"/>
        <v>SCM VASBanco de Dados (DML, DDL)ASimplesComplexo</v>
      </c>
      <c r="B1363" s="229" t="s">
        <v>236</v>
      </c>
      <c r="C1363" s="229" t="s">
        <v>220</v>
      </c>
      <c r="D1363" s="229" t="s">
        <v>25</v>
      </c>
      <c r="E1363" s="229" t="s">
        <v>26</v>
      </c>
      <c r="F1363" s="229" t="s">
        <v>76</v>
      </c>
      <c r="G1363">
        <v>5</v>
      </c>
    </row>
    <row r="1364" spans="1:7" hidden="1" x14ac:dyDescent="0.2">
      <c r="A1364" t="str">
        <f t="shared" si="25"/>
        <v>SCM VASBanco de Dados (DML, DDL)AMédioSimples</v>
      </c>
      <c r="B1364" s="229" t="s">
        <v>236</v>
      </c>
      <c r="C1364" s="229" t="s">
        <v>220</v>
      </c>
      <c r="D1364" s="229" t="s">
        <v>25</v>
      </c>
      <c r="E1364" s="229" t="s">
        <v>75</v>
      </c>
      <c r="F1364" s="229" t="s">
        <v>26</v>
      </c>
      <c r="G1364">
        <v>3</v>
      </c>
    </row>
    <row r="1365" spans="1:7" hidden="1" x14ac:dyDescent="0.2">
      <c r="A1365" t="str">
        <f t="shared" si="25"/>
        <v>SCM VASBanco de Dados (DML, DDL)AMédioMédio</v>
      </c>
      <c r="B1365" s="229" t="s">
        <v>236</v>
      </c>
      <c r="C1365" s="229" t="s">
        <v>220</v>
      </c>
      <c r="D1365" s="229" t="s">
        <v>25</v>
      </c>
      <c r="E1365" s="229" t="s">
        <v>75</v>
      </c>
      <c r="F1365" s="229" t="s">
        <v>75</v>
      </c>
      <c r="G1365">
        <v>6</v>
      </c>
    </row>
    <row r="1366" spans="1:7" hidden="1" x14ac:dyDescent="0.2">
      <c r="A1366" t="str">
        <f t="shared" si="25"/>
        <v>SCM VASBanco de Dados (DML, DDL)AMédioComplexo</v>
      </c>
      <c r="B1366" s="229" t="s">
        <v>236</v>
      </c>
      <c r="C1366" s="229" t="s">
        <v>220</v>
      </c>
      <c r="D1366" s="229" t="s">
        <v>25</v>
      </c>
      <c r="E1366" s="229" t="s">
        <v>75</v>
      </c>
      <c r="F1366" s="229" t="s">
        <v>76</v>
      </c>
      <c r="G1366">
        <v>8</v>
      </c>
    </row>
    <row r="1367" spans="1:7" hidden="1" x14ac:dyDescent="0.2">
      <c r="A1367" t="str">
        <f t="shared" si="25"/>
        <v>SCM VASBanco de Dados (DML, DDL)AComplexoSimples</v>
      </c>
      <c r="B1367" s="229" t="s">
        <v>236</v>
      </c>
      <c r="C1367" s="229" t="s">
        <v>220</v>
      </c>
      <c r="D1367" s="229" t="s">
        <v>25</v>
      </c>
      <c r="E1367" s="229" t="s">
        <v>76</v>
      </c>
      <c r="F1367" s="229" t="s">
        <v>26</v>
      </c>
      <c r="G1367">
        <v>5</v>
      </c>
    </row>
    <row r="1368" spans="1:7" hidden="1" x14ac:dyDescent="0.2">
      <c r="A1368" t="str">
        <f t="shared" si="25"/>
        <v>SCM VASBanco de Dados (DML, DDL)AComplexoMédio</v>
      </c>
      <c r="B1368" s="229" t="s">
        <v>236</v>
      </c>
      <c r="C1368" s="229" t="s">
        <v>220</v>
      </c>
      <c r="D1368" s="229" t="s">
        <v>25</v>
      </c>
      <c r="E1368" s="229" t="s">
        <v>76</v>
      </c>
      <c r="F1368" s="229" t="s">
        <v>75</v>
      </c>
      <c r="G1368">
        <v>8</v>
      </c>
    </row>
    <row r="1369" spans="1:7" hidden="1" x14ac:dyDescent="0.2">
      <c r="A1369" t="str">
        <f t="shared" si="25"/>
        <v>SCM VASBanco de Dados (DML, DDL)AComplexoComplexo</v>
      </c>
      <c r="B1369" s="229" t="s">
        <v>236</v>
      </c>
      <c r="C1369" s="229" t="s">
        <v>220</v>
      </c>
      <c r="D1369" s="229" t="s">
        <v>25</v>
      </c>
      <c r="E1369" s="229" t="s">
        <v>76</v>
      </c>
      <c r="F1369" s="229" t="s">
        <v>76</v>
      </c>
      <c r="G1369">
        <v>10</v>
      </c>
    </row>
    <row r="1370" spans="1:7" hidden="1" x14ac:dyDescent="0.2">
      <c r="A1370" t="str">
        <f t="shared" si="25"/>
        <v>SCM VASBanco de Dados (PL/SQL)NSimples</v>
      </c>
      <c r="B1370" s="229" t="s">
        <v>236</v>
      </c>
      <c r="C1370" s="229" t="s">
        <v>203</v>
      </c>
      <c r="D1370" s="229" t="s">
        <v>24</v>
      </c>
      <c r="E1370" s="229" t="s">
        <v>26</v>
      </c>
      <c r="F1370" s="229"/>
      <c r="G1370">
        <v>4</v>
      </c>
    </row>
    <row r="1371" spans="1:7" hidden="1" x14ac:dyDescent="0.2">
      <c r="A1371" t="str">
        <f t="shared" si="25"/>
        <v>SCM VASBanco de Dados (PL/SQL)NMédio</v>
      </c>
      <c r="B1371" s="229" t="s">
        <v>236</v>
      </c>
      <c r="C1371" s="229" t="s">
        <v>203</v>
      </c>
      <c r="D1371" s="229" t="s">
        <v>24</v>
      </c>
      <c r="E1371" s="229" t="s">
        <v>75</v>
      </c>
      <c r="F1371" s="229"/>
      <c r="G1371">
        <v>8</v>
      </c>
    </row>
    <row r="1372" spans="1:7" hidden="1" x14ac:dyDescent="0.2">
      <c r="A1372" t="str">
        <f t="shared" si="25"/>
        <v>SCM VASBanco de Dados (PL/SQL)NComplexo</v>
      </c>
      <c r="B1372" s="229" t="s">
        <v>236</v>
      </c>
      <c r="C1372" s="229" t="s">
        <v>203</v>
      </c>
      <c r="D1372" s="229" t="s">
        <v>24</v>
      </c>
      <c r="E1372" s="229" t="s">
        <v>76</v>
      </c>
      <c r="F1372" s="229"/>
      <c r="G1372">
        <v>12</v>
      </c>
    </row>
    <row r="1373" spans="1:7" hidden="1" x14ac:dyDescent="0.2">
      <c r="A1373" t="str">
        <f t="shared" si="25"/>
        <v>SCM VASBanco de Dados (PL/SQL)ASimplesSimples</v>
      </c>
      <c r="B1373" s="229" t="s">
        <v>236</v>
      </c>
      <c r="C1373" s="229" t="s">
        <v>203</v>
      </c>
      <c r="D1373" s="229" t="s">
        <v>25</v>
      </c>
      <c r="E1373" s="229" t="s">
        <v>26</v>
      </c>
      <c r="F1373" s="229" t="s">
        <v>26</v>
      </c>
      <c r="G1373">
        <v>2</v>
      </c>
    </row>
    <row r="1374" spans="1:7" hidden="1" x14ac:dyDescent="0.2">
      <c r="A1374" t="str">
        <f t="shared" si="25"/>
        <v>SCM VASBanco de Dados (PL/SQL)ASimplesMédio</v>
      </c>
      <c r="B1374" s="229" t="s">
        <v>236</v>
      </c>
      <c r="C1374" s="229" t="s">
        <v>203</v>
      </c>
      <c r="D1374" s="229" t="s">
        <v>25</v>
      </c>
      <c r="E1374" s="229" t="s">
        <v>26</v>
      </c>
      <c r="F1374" s="229" t="s">
        <v>75</v>
      </c>
      <c r="G1374">
        <v>4</v>
      </c>
    </row>
    <row r="1375" spans="1:7" hidden="1" x14ac:dyDescent="0.2">
      <c r="A1375" t="str">
        <f t="shared" si="25"/>
        <v>SCM VASBanco de Dados (PL/SQL)ASimplesComplexo</v>
      </c>
      <c r="B1375" s="229" t="s">
        <v>236</v>
      </c>
      <c r="C1375" s="229" t="s">
        <v>203</v>
      </c>
      <c r="D1375" s="229" t="s">
        <v>25</v>
      </c>
      <c r="E1375" s="229" t="s">
        <v>26</v>
      </c>
      <c r="F1375" s="229" t="s">
        <v>76</v>
      </c>
      <c r="G1375">
        <v>6</v>
      </c>
    </row>
    <row r="1376" spans="1:7" hidden="1" x14ac:dyDescent="0.2">
      <c r="A1376" t="str">
        <f t="shared" si="25"/>
        <v>SCM VASBanco de Dados (PL/SQL)AMédioSimples</v>
      </c>
      <c r="B1376" s="229" t="s">
        <v>236</v>
      </c>
      <c r="C1376" s="229" t="s">
        <v>203</v>
      </c>
      <c r="D1376" s="229" t="s">
        <v>25</v>
      </c>
      <c r="E1376" s="229" t="s">
        <v>75</v>
      </c>
      <c r="F1376" s="229" t="s">
        <v>26</v>
      </c>
      <c r="G1376">
        <v>4</v>
      </c>
    </row>
    <row r="1377" spans="1:7" hidden="1" x14ac:dyDescent="0.2">
      <c r="A1377" t="str">
        <f t="shared" si="25"/>
        <v>SCM VASBanco de Dados (PL/SQL)AMédioMédio</v>
      </c>
      <c r="B1377" s="229" t="s">
        <v>236</v>
      </c>
      <c r="C1377" s="229" t="s">
        <v>203</v>
      </c>
      <c r="D1377" s="229" t="s">
        <v>25</v>
      </c>
      <c r="E1377" s="229" t="s">
        <v>75</v>
      </c>
      <c r="F1377" s="229" t="s">
        <v>75</v>
      </c>
      <c r="G1377">
        <v>6</v>
      </c>
    </row>
    <row r="1378" spans="1:7" hidden="1" x14ac:dyDescent="0.2">
      <c r="A1378" t="str">
        <f t="shared" si="25"/>
        <v>SCM VASBanco de Dados (PL/SQL)AMédioComplexo</v>
      </c>
      <c r="B1378" s="229" t="s">
        <v>236</v>
      </c>
      <c r="C1378" s="229" t="s">
        <v>203</v>
      </c>
      <c r="D1378" s="229" t="s">
        <v>25</v>
      </c>
      <c r="E1378" s="229" t="s">
        <v>75</v>
      </c>
      <c r="F1378" s="229" t="s">
        <v>76</v>
      </c>
      <c r="G1378">
        <v>9</v>
      </c>
    </row>
    <row r="1379" spans="1:7" hidden="1" x14ac:dyDescent="0.2">
      <c r="A1379" t="str">
        <f t="shared" si="25"/>
        <v>SCM VASBanco de Dados (PL/SQL)AComplexoSimples</v>
      </c>
      <c r="B1379" s="229" t="s">
        <v>236</v>
      </c>
      <c r="C1379" s="229" t="s">
        <v>203</v>
      </c>
      <c r="D1379" s="229" t="s">
        <v>25</v>
      </c>
      <c r="E1379" s="229" t="s">
        <v>76</v>
      </c>
      <c r="F1379" s="229" t="s">
        <v>26</v>
      </c>
      <c r="G1379">
        <v>7</v>
      </c>
    </row>
    <row r="1380" spans="1:7" hidden="1" x14ac:dyDescent="0.2">
      <c r="A1380" t="str">
        <f t="shared" si="25"/>
        <v>SCM VASBanco de Dados (PL/SQL)AComplexoMédio</v>
      </c>
      <c r="B1380" s="229" t="s">
        <v>236</v>
      </c>
      <c r="C1380" s="229" t="s">
        <v>203</v>
      </c>
      <c r="D1380" s="229" t="s">
        <v>25</v>
      </c>
      <c r="E1380" s="229" t="s">
        <v>76</v>
      </c>
      <c r="F1380" s="229" t="s">
        <v>75</v>
      </c>
      <c r="G1380">
        <v>9</v>
      </c>
    </row>
    <row r="1381" spans="1:7" hidden="1" x14ac:dyDescent="0.2">
      <c r="A1381" t="str">
        <f t="shared" si="25"/>
        <v>SCM VASBanco de Dados (PL/SQL)AComplexoComplexo</v>
      </c>
      <c r="B1381" s="229" t="s">
        <v>236</v>
      </c>
      <c r="C1381" s="229" t="s">
        <v>203</v>
      </c>
      <c r="D1381" s="229" t="s">
        <v>25</v>
      </c>
      <c r="E1381" s="229" t="s">
        <v>76</v>
      </c>
      <c r="F1381" s="229" t="s">
        <v>76</v>
      </c>
      <c r="G1381">
        <v>12</v>
      </c>
    </row>
    <row r="1382" spans="1:7" hidden="1" x14ac:dyDescent="0.2">
      <c r="A1382" t="str">
        <f t="shared" si="25"/>
        <v>SCM VASJAVA: Interface WebServiceNSimples</v>
      </c>
      <c r="B1382" s="229" t="s">
        <v>236</v>
      </c>
      <c r="C1382" s="229" t="s">
        <v>204</v>
      </c>
      <c r="D1382" s="229" t="s">
        <v>24</v>
      </c>
      <c r="E1382" s="229" t="s">
        <v>26</v>
      </c>
      <c r="F1382" s="229"/>
      <c r="G1382">
        <v>3</v>
      </c>
    </row>
    <row r="1383" spans="1:7" hidden="1" x14ac:dyDescent="0.2">
      <c r="A1383" t="str">
        <f t="shared" si="25"/>
        <v>SCM VASJAVA: Interface WebServiceNMédio</v>
      </c>
      <c r="B1383" s="229" t="s">
        <v>236</v>
      </c>
      <c r="C1383" s="229" t="s">
        <v>204</v>
      </c>
      <c r="D1383" s="229" t="s">
        <v>24</v>
      </c>
      <c r="E1383" s="229" t="s">
        <v>75</v>
      </c>
      <c r="F1383" s="229"/>
      <c r="G1383">
        <v>5</v>
      </c>
    </row>
    <row r="1384" spans="1:7" hidden="1" x14ac:dyDescent="0.2">
      <c r="A1384" t="str">
        <f t="shared" si="25"/>
        <v>SCM VASJAVA: Interface WebServiceNComplexo</v>
      </c>
      <c r="B1384" s="229" t="s">
        <v>236</v>
      </c>
      <c r="C1384" s="229" t="s">
        <v>204</v>
      </c>
      <c r="D1384" s="229" t="s">
        <v>24</v>
      </c>
      <c r="E1384" s="229" t="s">
        <v>76</v>
      </c>
      <c r="F1384" s="229"/>
      <c r="G1384">
        <v>8</v>
      </c>
    </row>
    <row r="1385" spans="1:7" hidden="1" x14ac:dyDescent="0.2">
      <c r="A1385" t="str">
        <f t="shared" si="25"/>
        <v>SCM VASJAVA: Interface WebServiceASimplesSimples</v>
      </c>
      <c r="B1385" s="229" t="s">
        <v>236</v>
      </c>
      <c r="C1385" s="229" t="s">
        <v>204</v>
      </c>
      <c r="D1385" s="229" t="s">
        <v>25</v>
      </c>
      <c r="E1385" s="229" t="s">
        <v>26</v>
      </c>
      <c r="F1385" s="229" t="s">
        <v>26</v>
      </c>
      <c r="G1385">
        <v>2</v>
      </c>
    </row>
    <row r="1386" spans="1:7" hidden="1" x14ac:dyDescent="0.2">
      <c r="A1386" t="str">
        <f t="shared" si="25"/>
        <v>SCM VASJAVA: Interface WebServiceASimplesMédio</v>
      </c>
      <c r="B1386" s="229" t="s">
        <v>236</v>
      </c>
      <c r="C1386" s="229" t="s">
        <v>204</v>
      </c>
      <c r="D1386" s="229" t="s">
        <v>25</v>
      </c>
      <c r="E1386" s="229" t="s">
        <v>26</v>
      </c>
      <c r="F1386" s="229" t="s">
        <v>75</v>
      </c>
      <c r="G1386">
        <v>3</v>
      </c>
    </row>
    <row r="1387" spans="1:7" hidden="1" x14ac:dyDescent="0.2">
      <c r="A1387" t="str">
        <f t="shared" si="25"/>
        <v>SCM VASJAVA: Interface WebServiceASimplesComplexo</v>
      </c>
      <c r="B1387" s="229" t="s">
        <v>236</v>
      </c>
      <c r="C1387" s="229" t="s">
        <v>204</v>
      </c>
      <c r="D1387" s="229" t="s">
        <v>25</v>
      </c>
      <c r="E1387" s="229" t="s">
        <v>26</v>
      </c>
      <c r="F1387" s="229" t="s">
        <v>76</v>
      </c>
      <c r="G1387">
        <v>4</v>
      </c>
    </row>
    <row r="1388" spans="1:7" hidden="1" x14ac:dyDescent="0.2">
      <c r="A1388" t="str">
        <f t="shared" si="25"/>
        <v>SCM VASJAVA: Interface WebServiceAMédioSimples</v>
      </c>
      <c r="B1388" s="229" t="s">
        <v>236</v>
      </c>
      <c r="C1388" s="229" t="s">
        <v>204</v>
      </c>
      <c r="D1388" s="229" t="s">
        <v>25</v>
      </c>
      <c r="E1388" s="229" t="s">
        <v>75</v>
      </c>
      <c r="F1388" s="229" t="s">
        <v>26</v>
      </c>
      <c r="G1388">
        <v>2</v>
      </c>
    </row>
    <row r="1389" spans="1:7" hidden="1" x14ac:dyDescent="0.2">
      <c r="A1389" t="str">
        <f t="shared" si="25"/>
        <v>SCM VASJAVA: Interface WebServiceAMédioMédio</v>
      </c>
      <c r="B1389" s="229" t="s">
        <v>236</v>
      </c>
      <c r="C1389" s="229" t="s">
        <v>204</v>
      </c>
      <c r="D1389" s="229" t="s">
        <v>25</v>
      </c>
      <c r="E1389" s="229" t="s">
        <v>75</v>
      </c>
      <c r="F1389" s="229" t="s">
        <v>75</v>
      </c>
      <c r="G1389">
        <v>5</v>
      </c>
    </row>
    <row r="1390" spans="1:7" hidden="1" x14ac:dyDescent="0.2">
      <c r="A1390" t="str">
        <f t="shared" si="25"/>
        <v>SCM VASJAVA: Interface WebServiceAMédioComplexo</v>
      </c>
      <c r="B1390" s="229" t="s">
        <v>236</v>
      </c>
      <c r="C1390" s="229" t="s">
        <v>204</v>
      </c>
      <c r="D1390" s="229" t="s">
        <v>25</v>
      </c>
      <c r="E1390" s="229" t="s">
        <v>75</v>
      </c>
      <c r="F1390" s="229" t="s">
        <v>76</v>
      </c>
      <c r="G1390">
        <v>8</v>
      </c>
    </row>
    <row r="1391" spans="1:7" hidden="1" x14ac:dyDescent="0.2">
      <c r="A1391" t="str">
        <f t="shared" si="25"/>
        <v>SCM VASJAVA: Interface WebServiceAComplexoSimples</v>
      </c>
      <c r="B1391" s="229" t="s">
        <v>236</v>
      </c>
      <c r="C1391" s="229" t="s">
        <v>204</v>
      </c>
      <c r="D1391" s="229" t="s">
        <v>25</v>
      </c>
      <c r="E1391" s="229" t="s">
        <v>76</v>
      </c>
      <c r="F1391" s="229" t="s">
        <v>26</v>
      </c>
      <c r="G1391">
        <v>5</v>
      </c>
    </row>
    <row r="1392" spans="1:7" hidden="1" x14ac:dyDescent="0.2">
      <c r="A1392" t="str">
        <f t="shared" si="25"/>
        <v>SCM VASJAVA: Interface WebServiceAComplexoMédio</v>
      </c>
      <c r="B1392" s="229" t="s">
        <v>236</v>
      </c>
      <c r="C1392" s="229" t="s">
        <v>204</v>
      </c>
      <c r="D1392" s="229" t="s">
        <v>25</v>
      </c>
      <c r="E1392" s="229" t="s">
        <v>76</v>
      </c>
      <c r="F1392" s="229" t="s">
        <v>75</v>
      </c>
      <c r="G1392">
        <v>7</v>
      </c>
    </row>
    <row r="1393" spans="1:7" hidden="1" x14ac:dyDescent="0.2">
      <c r="A1393" t="str">
        <f t="shared" si="25"/>
        <v>SCM VASJAVA: Interface WebServiceAComplexoComplexo</v>
      </c>
      <c r="B1393" s="229" t="s">
        <v>236</v>
      </c>
      <c r="C1393" s="229" t="s">
        <v>204</v>
      </c>
      <c r="D1393" s="229" t="s">
        <v>25</v>
      </c>
      <c r="E1393" s="229" t="s">
        <v>76</v>
      </c>
      <c r="F1393" s="229" t="s">
        <v>76</v>
      </c>
      <c r="G1393">
        <v>9</v>
      </c>
    </row>
    <row r="1394" spans="1:7" hidden="1" x14ac:dyDescent="0.2">
      <c r="A1394" t="str">
        <f t="shared" si="25"/>
        <v>SCM VASJAVA: Transformação de ObjetosNSimples</v>
      </c>
      <c r="B1394" s="229" t="s">
        <v>236</v>
      </c>
      <c r="C1394" s="229" t="s">
        <v>205</v>
      </c>
      <c r="D1394" s="229" t="s">
        <v>24</v>
      </c>
      <c r="E1394" s="229" t="s">
        <v>26</v>
      </c>
      <c r="F1394" s="229"/>
      <c r="G1394">
        <v>1</v>
      </c>
    </row>
    <row r="1395" spans="1:7" hidden="1" x14ac:dyDescent="0.2">
      <c r="A1395" t="str">
        <f t="shared" si="25"/>
        <v>SCM VASJAVA: Transformação de ObjetosNMédio</v>
      </c>
      <c r="B1395" s="229" t="s">
        <v>236</v>
      </c>
      <c r="C1395" s="229" t="s">
        <v>205</v>
      </c>
      <c r="D1395" s="229" t="s">
        <v>24</v>
      </c>
      <c r="E1395" s="229" t="s">
        <v>75</v>
      </c>
      <c r="F1395" s="229"/>
      <c r="G1395">
        <v>3</v>
      </c>
    </row>
    <row r="1396" spans="1:7" hidden="1" x14ac:dyDescent="0.2">
      <c r="A1396" t="str">
        <f t="shared" si="25"/>
        <v>SCM VASJAVA: Transformação de ObjetosNComplexo</v>
      </c>
      <c r="B1396" s="229" t="s">
        <v>236</v>
      </c>
      <c r="C1396" s="229" t="s">
        <v>205</v>
      </c>
      <c r="D1396" s="229" t="s">
        <v>24</v>
      </c>
      <c r="E1396" s="229" t="s">
        <v>76</v>
      </c>
      <c r="F1396" s="229"/>
      <c r="G1396">
        <v>5</v>
      </c>
    </row>
    <row r="1397" spans="1:7" hidden="1" x14ac:dyDescent="0.2">
      <c r="A1397" t="str">
        <f t="shared" si="25"/>
        <v>SCM VASJAVA: Transformação de ObjetosASimplesSimples</v>
      </c>
      <c r="B1397" s="229" t="s">
        <v>236</v>
      </c>
      <c r="C1397" s="229" t="s">
        <v>205</v>
      </c>
      <c r="D1397" s="229" t="s">
        <v>25</v>
      </c>
      <c r="E1397" s="229" t="s">
        <v>26</v>
      </c>
      <c r="F1397" s="229" t="s">
        <v>26</v>
      </c>
      <c r="G1397">
        <v>1</v>
      </c>
    </row>
    <row r="1398" spans="1:7" hidden="1" x14ac:dyDescent="0.2">
      <c r="A1398" t="str">
        <f t="shared" si="25"/>
        <v>SCM VASJAVA: Transformação de ObjetosASimplesMédio</v>
      </c>
      <c r="B1398" s="229" t="s">
        <v>236</v>
      </c>
      <c r="C1398" s="229" t="s">
        <v>205</v>
      </c>
      <c r="D1398" s="229" t="s">
        <v>25</v>
      </c>
      <c r="E1398" s="229" t="s">
        <v>26</v>
      </c>
      <c r="F1398" s="229" t="s">
        <v>75</v>
      </c>
      <c r="G1398">
        <v>2</v>
      </c>
    </row>
    <row r="1399" spans="1:7" hidden="1" x14ac:dyDescent="0.2">
      <c r="A1399" t="str">
        <f t="shared" si="25"/>
        <v>SCM VASJAVA: Transformação de ObjetosASimplesComplexo</v>
      </c>
      <c r="B1399" s="229" t="s">
        <v>236</v>
      </c>
      <c r="C1399" s="229" t="s">
        <v>205</v>
      </c>
      <c r="D1399" s="229" t="s">
        <v>25</v>
      </c>
      <c r="E1399" s="229" t="s">
        <v>26</v>
      </c>
      <c r="F1399" s="229" t="s">
        <v>76</v>
      </c>
      <c r="G1399">
        <v>4</v>
      </c>
    </row>
    <row r="1400" spans="1:7" hidden="1" x14ac:dyDescent="0.2">
      <c r="A1400" t="str">
        <f t="shared" si="25"/>
        <v>SCM VASJAVA: Transformação de ObjetosAMédioSimples</v>
      </c>
      <c r="B1400" s="229" t="s">
        <v>236</v>
      </c>
      <c r="C1400" s="229" t="s">
        <v>205</v>
      </c>
      <c r="D1400" s="229" t="s">
        <v>25</v>
      </c>
      <c r="E1400" s="229" t="s">
        <v>75</v>
      </c>
      <c r="F1400" s="229" t="s">
        <v>26</v>
      </c>
      <c r="G1400">
        <v>3</v>
      </c>
    </row>
    <row r="1401" spans="1:7" hidden="1" x14ac:dyDescent="0.2">
      <c r="A1401" t="str">
        <f t="shared" si="25"/>
        <v>SCM VASJAVA: Transformação de ObjetosAMédioMédio</v>
      </c>
      <c r="B1401" s="229" t="s">
        <v>236</v>
      </c>
      <c r="C1401" s="229" t="s">
        <v>205</v>
      </c>
      <c r="D1401" s="229" t="s">
        <v>25</v>
      </c>
      <c r="E1401" s="229" t="s">
        <v>75</v>
      </c>
      <c r="F1401" s="229" t="s">
        <v>75</v>
      </c>
      <c r="G1401">
        <v>5</v>
      </c>
    </row>
    <row r="1402" spans="1:7" hidden="1" x14ac:dyDescent="0.2">
      <c r="A1402" t="str">
        <f t="shared" si="25"/>
        <v>SCM VASJAVA: Transformação de ObjetosAMédioComplexo</v>
      </c>
      <c r="B1402" s="229" t="s">
        <v>236</v>
      </c>
      <c r="C1402" s="229" t="s">
        <v>205</v>
      </c>
      <c r="D1402" s="229" t="s">
        <v>25</v>
      </c>
      <c r="E1402" s="229" t="s">
        <v>75</v>
      </c>
      <c r="F1402" s="229" t="s">
        <v>76</v>
      </c>
      <c r="G1402">
        <v>6</v>
      </c>
    </row>
    <row r="1403" spans="1:7" hidden="1" x14ac:dyDescent="0.2">
      <c r="A1403" t="str">
        <f t="shared" si="25"/>
        <v>SCM VASJAVA: Transformação de ObjetosAComplexoSimples</v>
      </c>
      <c r="B1403" s="229" t="s">
        <v>236</v>
      </c>
      <c r="C1403" s="229" t="s">
        <v>205</v>
      </c>
      <c r="D1403" s="229" t="s">
        <v>25</v>
      </c>
      <c r="E1403" s="229" t="s">
        <v>76</v>
      </c>
      <c r="F1403" s="229" t="s">
        <v>26</v>
      </c>
      <c r="G1403">
        <v>4</v>
      </c>
    </row>
    <row r="1404" spans="1:7" hidden="1" x14ac:dyDescent="0.2">
      <c r="A1404" t="str">
        <f t="shared" si="25"/>
        <v>SCM VASJAVA: Transformação de ObjetosAComplexoMédio</v>
      </c>
      <c r="B1404" s="229" t="s">
        <v>236</v>
      </c>
      <c r="C1404" s="229" t="s">
        <v>205</v>
      </c>
      <c r="D1404" s="229" t="s">
        <v>25</v>
      </c>
      <c r="E1404" s="229" t="s">
        <v>76</v>
      </c>
      <c r="F1404" s="229" t="s">
        <v>75</v>
      </c>
      <c r="G1404">
        <v>6</v>
      </c>
    </row>
    <row r="1405" spans="1:7" hidden="1" x14ac:dyDescent="0.2">
      <c r="A1405" t="str">
        <f t="shared" si="25"/>
        <v>SCM VASJAVA: Transformação de ObjetosAComplexoComplexo</v>
      </c>
      <c r="B1405" s="229" t="s">
        <v>236</v>
      </c>
      <c r="C1405" s="229" t="s">
        <v>205</v>
      </c>
      <c r="D1405" s="229" t="s">
        <v>25</v>
      </c>
      <c r="E1405" s="229" t="s">
        <v>76</v>
      </c>
      <c r="F1405" s="229" t="s">
        <v>76</v>
      </c>
      <c r="G1405">
        <v>8</v>
      </c>
    </row>
    <row r="1406" spans="1:7" hidden="1" x14ac:dyDescent="0.2">
      <c r="A1406" t="str">
        <f t="shared" si="25"/>
        <v>SCM VASJAVA: Métodos de Negócio (Controller)NSimples</v>
      </c>
      <c r="B1406" s="229" t="s">
        <v>236</v>
      </c>
      <c r="C1406" s="229" t="s">
        <v>206</v>
      </c>
      <c r="D1406" s="229" t="s">
        <v>24</v>
      </c>
      <c r="E1406" s="229" t="s">
        <v>26</v>
      </c>
      <c r="F1406" s="229"/>
      <c r="G1406">
        <v>8</v>
      </c>
    </row>
    <row r="1407" spans="1:7" hidden="1" x14ac:dyDescent="0.2">
      <c r="A1407" t="str">
        <f t="shared" si="25"/>
        <v>SCM VASJAVA: Métodos de Negócio (Controller)NMédio</v>
      </c>
      <c r="B1407" s="229" t="s">
        <v>236</v>
      </c>
      <c r="C1407" s="229" t="s">
        <v>206</v>
      </c>
      <c r="D1407" s="229" t="s">
        <v>24</v>
      </c>
      <c r="E1407" s="229" t="s">
        <v>75</v>
      </c>
      <c r="F1407" s="229"/>
      <c r="G1407">
        <v>16</v>
      </c>
    </row>
    <row r="1408" spans="1:7" hidden="1" x14ac:dyDescent="0.2">
      <c r="A1408" t="str">
        <f t="shared" si="25"/>
        <v>SCM VASJAVA: Métodos de Negócio (Controller)NComplexo</v>
      </c>
      <c r="B1408" s="229" t="s">
        <v>236</v>
      </c>
      <c r="C1408" s="229" t="s">
        <v>206</v>
      </c>
      <c r="D1408" s="229" t="s">
        <v>24</v>
      </c>
      <c r="E1408" s="229" t="s">
        <v>76</v>
      </c>
      <c r="F1408" s="229"/>
      <c r="G1408">
        <v>24</v>
      </c>
    </row>
    <row r="1409" spans="1:7" hidden="1" x14ac:dyDescent="0.2">
      <c r="A1409" t="str">
        <f t="shared" ref="A1409:A1472" si="26">B1409&amp;C1409&amp;D1409&amp;E1409&amp;F1409</f>
        <v>SCM VASJAVA: Métodos de Negócio (Controller)ASimplesSimples</v>
      </c>
      <c r="B1409" s="229" t="s">
        <v>236</v>
      </c>
      <c r="C1409" s="229" t="s">
        <v>206</v>
      </c>
      <c r="D1409" s="229" t="s">
        <v>25</v>
      </c>
      <c r="E1409" s="229" t="s">
        <v>26</v>
      </c>
      <c r="F1409" s="229" t="s">
        <v>26</v>
      </c>
      <c r="G1409">
        <v>3</v>
      </c>
    </row>
    <row r="1410" spans="1:7" hidden="1" x14ac:dyDescent="0.2">
      <c r="A1410" t="str">
        <f t="shared" si="26"/>
        <v>SCM VASJAVA: Métodos de Negócio (Controller)ASimplesMédio</v>
      </c>
      <c r="B1410" s="229" t="s">
        <v>236</v>
      </c>
      <c r="C1410" s="229" t="s">
        <v>206</v>
      </c>
      <c r="D1410" s="229" t="s">
        <v>25</v>
      </c>
      <c r="E1410" s="229" t="s">
        <v>26</v>
      </c>
      <c r="F1410" s="229" t="s">
        <v>75</v>
      </c>
      <c r="G1410">
        <v>5</v>
      </c>
    </row>
    <row r="1411" spans="1:7" hidden="1" x14ac:dyDescent="0.2">
      <c r="A1411" t="str">
        <f t="shared" si="26"/>
        <v>SCM VASJAVA: Métodos de Negócio (Controller)ASimplesComplexo</v>
      </c>
      <c r="B1411" s="229" t="s">
        <v>236</v>
      </c>
      <c r="C1411" s="229" t="s">
        <v>206</v>
      </c>
      <c r="D1411" s="229" t="s">
        <v>25</v>
      </c>
      <c r="E1411" s="229" t="s">
        <v>26</v>
      </c>
      <c r="F1411" s="229" t="s">
        <v>76</v>
      </c>
      <c r="G1411">
        <v>7</v>
      </c>
    </row>
    <row r="1412" spans="1:7" hidden="1" x14ac:dyDescent="0.2">
      <c r="A1412" t="str">
        <f t="shared" si="26"/>
        <v>SCM VASJAVA: Métodos de Negócio (Controller)AMédioSimples</v>
      </c>
      <c r="B1412" s="229" t="s">
        <v>236</v>
      </c>
      <c r="C1412" s="229" t="s">
        <v>206</v>
      </c>
      <c r="D1412" s="229" t="s">
        <v>25</v>
      </c>
      <c r="E1412" s="229" t="s">
        <v>75</v>
      </c>
      <c r="F1412" s="229" t="s">
        <v>26</v>
      </c>
      <c r="G1412" s="229">
        <v>8</v>
      </c>
    </row>
    <row r="1413" spans="1:7" hidden="1" x14ac:dyDescent="0.2">
      <c r="A1413" t="str">
        <f t="shared" si="26"/>
        <v>SCM VASJAVA: Métodos de Negócio (Controller)AMédioMédio</v>
      </c>
      <c r="B1413" s="229" t="s">
        <v>236</v>
      </c>
      <c r="C1413" s="229" t="s">
        <v>206</v>
      </c>
      <c r="D1413" s="229" t="s">
        <v>25</v>
      </c>
      <c r="E1413" s="229" t="s">
        <v>75</v>
      </c>
      <c r="F1413" s="229" t="s">
        <v>75</v>
      </c>
      <c r="G1413">
        <v>10</v>
      </c>
    </row>
    <row r="1414" spans="1:7" hidden="1" x14ac:dyDescent="0.2">
      <c r="A1414" t="str">
        <f t="shared" si="26"/>
        <v>SCM VASJAVA: Métodos de Negócio (Controller)AMédioComplexo</v>
      </c>
      <c r="B1414" s="229" t="s">
        <v>236</v>
      </c>
      <c r="C1414" s="229" t="s">
        <v>206</v>
      </c>
      <c r="D1414" s="229" t="s">
        <v>25</v>
      </c>
      <c r="E1414" s="229" t="s">
        <v>75</v>
      </c>
      <c r="F1414" s="229" t="s">
        <v>76</v>
      </c>
      <c r="G1414">
        <v>14</v>
      </c>
    </row>
    <row r="1415" spans="1:7" hidden="1" x14ac:dyDescent="0.2">
      <c r="A1415" t="str">
        <f t="shared" si="26"/>
        <v>SCM VASJAVA: Métodos de Negócio (Controller)AComplexoSimples</v>
      </c>
      <c r="B1415" s="229" t="s">
        <v>236</v>
      </c>
      <c r="C1415" s="229" t="s">
        <v>206</v>
      </c>
      <c r="D1415" s="229" t="s">
        <v>25</v>
      </c>
      <c r="E1415" s="229" t="s">
        <v>76</v>
      </c>
      <c r="F1415" s="229" t="s">
        <v>26</v>
      </c>
      <c r="G1415">
        <v>6</v>
      </c>
    </row>
    <row r="1416" spans="1:7" hidden="1" x14ac:dyDescent="0.2">
      <c r="A1416" t="str">
        <f t="shared" si="26"/>
        <v>SCM VASJAVA: Métodos de Negócio (Controller)AComplexoMédio</v>
      </c>
      <c r="B1416" s="229" t="s">
        <v>236</v>
      </c>
      <c r="C1416" s="229" t="s">
        <v>206</v>
      </c>
      <c r="D1416" s="229" t="s">
        <v>25</v>
      </c>
      <c r="E1416" s="229" t="s">
        <v>76</v>
      </c>
      <c r="F1416" s="229" t="s">
        <v>75</v>
      </c>
      <c r="G1416">
        <v>10</v>
      </c>
    </row>
    <row r="1417" spans="1:7" hidden="1" x14ac:dyDescent="0.2">
      <c r="A1417" t="str">
        <f t="shared" si="26"/>
        <v>SCM VASJAVA: Métodos de Negócio (Controller)AComplexoComplexo</v>
      </c>
      <c r="B1417" s="229" t="s">
        <v>236</v>
      </c>
      <c r="C1417" s="229" t="s">
        <v>206</v>
      </c>
      <c r="D1417" s="229" t="s">
        <v>25</v>
      </c>
      <c r="E1417" s="229" t="s">
        <v>76</v>
      </c>
      <c r="F1417" s="229" t="s">
        <v>76</v>
      </c>
      <c r="G1417">
        <v>16</v>
      </c>
    </row>
    <row r="1418" spans="1:7" hidden="1" x14ac:dyDescent="0.2">
      <c r="A1418" t="str">
        <f t="shared" si="26"/>
        <v>SCM VASJAVA: EntityNSimples</v>
      </c>
      <c r="B1418" s="229" t="s">
        <v>236</v>
      </c>
      <c r="C1418" s="229" t="s">
        <v>207</v>
      </c>
      <c r="D1418" s="229" t="s">
        <v>24</v>
      </c>
      <c r="E1418" s="229" t="s">
        <v>26</v>
      </c>
      <c r="F1418" s="229"/>
      <c r="G1418">
        <v>1</v>
      </c>
    </row>
    <row r="1419" spans="1:7" hidden="1" x14ac:dyDescent="0.2">
      <c r="A1419" t="str">
        <f t="shared" si="26"/>
        <v>SCM VASJAVA: EntityNMédio</v>
      </c>
      <c r="B1419" s="229" t="s">
        <v>236</v>
      </c>
      <c r="C1419" s="229" t="s">
        <v>207</v>
      </c>
      <c r="D1419" s="229" t="s">
        <v>24</v>
      </c>
      <c r="E1419" s="229" t="s">
        <v>75</v>
      </c>
      <c r="F1419" s="229"/>
      <c r="G1419">
        <v>2</v>
      </c>
    </row>
    <row r="1420" spans="1:7" hidden="1" x14ac:dyDescent="0.2">
      <c r="A1420" t="str">
        <f t="shared" si="26"/>
        <v>SCM VASJAVA: EntityNComplexo</v>
      </c>
      <c r="B1420" s="229" t="s">
        <v>236</v>
      </c>
      <c r="C1420" s="229" t="s">
        <v>207</v>
      </c>
      <c r="D1420" s="229" t="s">
        <v>24</v>
      </c>
      <c r="E1420" s="229" t="s">
        <v>76</v>
      </c>
      <c r="F1420" s="229"/>
      <c r="G1420">
        <v>4</v>
      </c>
    </row>
    <row r="1421" spans="1:7" hidden="1" x14ac:dyDescent="0.2">
      <c r="A1421" t="str">
        <f t="shared" si="26"/>
        <v>SCM VASJAVA: EntityASimplesSimples</v>
      </c>
      <c r="B1421" s="229" t="s">
        <v>236</v>
      </c>
      <c r="C1421" s="229" t="s">
        <v>207</v>
      </c>
      <c r="D1421" s="229" t="s">
        <v>25</v>
      </c>
      <c r="E1421" s="229" t="s">
        <v>26</v>
      </c>
      <c r="F1421" s="229" t="s">
        <v>26</v>
      </c>
      <c r="G1421">
        <v>1</v>
      </c>
    </row>
    <row r="1422" spans="1:7" hidden="1" x14ac:dyDescent="0.2">
      <c r="A1422" t="str">
        <f t="shared" si="26"/>
        <v>SCM VASJAVA: EntityASimplesMédio</v>
      </c>
      <c r="B1422" s="229" t="s">
        <v>236</v>
      </c>
      <c r="C1422" s="229" t="s">
        <v>207</v>
      </c>
      <c r="D1422" s="229" t="s">
        <v>25</v>
      </c>
      <c r="E1422" s="229" t="s">
        <v>26</v>
      </c>
      <c r="F1422" s="229" t="s">
        <v>75</v>
      </c>
      <c r="G1422">
        <v>2</v>
      </c>
    </row>
    <row r="1423" spans="1:7" hidden="1" x14ac:dyDescent="0.2">
      <c r="A1423" t="str">
        <f t="shared" si="26"/>
        <v>SCM VASJAVA: EntityASimplesComplexo</v>
      </c>
      <c r="B1423" s="229" t="s">
        <v>236</v>
      </c>
      <c r="C1423" s="229" t="s">
        <v>207</v>
      </c>
      <c r="D1423" s="229" t="s">
        <v>25</v>
      </c>
      <c r="E1423" s="229" t="s">
        <v>26</v>
      </c>
      <c r="F1423" s="229" t="s">
        <v>76</v>
      </c>
      <c r="G1423">
        <v>3</v>
      </c>
    </row>
    <row r="1424" spans="1:7" hidden="1" x14ac:dyDescent="0.2">
      <c r="A1424" t="str">
        <f t="shared" si="26"/>
        <v>SCM VASJAVA: EntityAMédioSimples</v>
      </c>
      <c r="B1424" s="229" t="s">
        <v>236</v>
      </c>
      <c r="C1424" s="229" t="s">
        <v>207</v>
      </c>
      <c r="D1424" s="229" t="s">
        <v>25</v>
      </c>
      <c r="E1424" s="229" t="s">
        <v>75</v>
      </c>
      <c r="F1424" s="229" t="s">
        <v>26</v>
      </c>
      <c r="G1424">
        <v>2</v>
      </c>
    </row>
    <row r="1425" spans="1:7" hidden="1" x14ac:dyDescent="0.2">
      <c r="A1425" t="str">
        <f t="shared" si="26"/>
        <v>SCM VASJAVA: EntityAMédioMédio</v>
      </c>
      <c r="B1425" s="229" t="s">
        <v>236</v>
      </c>
      <c r="C1425" s="229" t="s">
        <v>207</v>
      </c>
      <c r="D1425" s="229" t="s">
        <v>25</v>
      </c>
      <c r="E1425" s="229" t="s">
        <v>75</v>
      </c>
      <c r="F1425" s="229" t="s">
        <v>75</v>
      </c>
      <c r="G1425">
        <v>3</v>
      </c>
    </row>
    <row r="1426" spans="1:7" hidden="1" x14ac:dyDescent="0.2">
      <c r="A1426" t="str">
        <f t="shared" si="26"/>
        <v>SCM VASJAVA: EntityAMédioComplexo</v>
      </c>
      <c r="B1426" s="229" t="s">
        <v>236</v>
      </c>
      <c r="C1426" s="229" t="s">
        <v>207</v>
      </c>
      <c r="D1426" s="229" t="s">
        <v>25</v>
      </c>
      <c r="E1426" s="229" t="s">
        <v>75</v>
      </c>
      <c r="F1426" s="229" t="s">
        <v>76</v>
      </c>
      <c r="G1426">
        <v>4</v>
      </c>
    </row>
    <row r="1427" spans="1:7" hidden="1" x14ac:dyDescent="0.2">
      <c r="A1427" t="str">
        <f t="shared" si="26"/>
        <v>SCM VASJAVA: EntityAComplexoSimples</v>
      </c>
      <c r="B1427" s="229" t="s">
        <v>236</v>
      </c>
      <c r="C1427" s="229" t="s">
        <v>207</v>
      </c>
      <c r="D1427" s="229" t="s">
        <v>25</v>
      </c>
      <c r="E1427" s="229" t="s">
        <v>76</v>
      </c>
      <c r="F1427" s="229" t="s">
        <v>26</v>
      </c>
      <c r="G1427">
        <v>3</v>
      </c>
    </row>
    <row r="1428" spans="1:7" hidden="1" x14ac:dyDescent="0.2">
      <c r="A1428" t="str">
        <f t="shared" si="26"/>
        <v>SCM VASJAVA: EntityAComplexoMédio</v>
      </c>
      <c r="B1428" s="229" t="s">
        <v>236</v>
      </c>
      <c r="C1428" s="229" t="s">
        <v>207</v>
      </c>
      <c r="D1428" s="229" t="s">
        <v>25</v>
      </c>
      <c r="E1428" s="229" t="s">
        <v>76</v>
      </c>
      <c r="F1428" s="229" t="s">
        <v>75</v>
      </c>
      <c r="G1428">
        <v>5</v>
      </c>
    </row>
    <row r="1429" spans="1:7" hidden="1" x14ac:dyDescent="0.2">
      <c r="A1429" t="str">
        <f t="shared" si="26"/>
        <v>SCM VASJAVA: EntityAComplexoComplexo</v>
      </c>
      <c r="B1429" s="229" t="s">
        <v>236</v>
      </c>
      <c r="C1429" s="229" t="s">
        <v>207</v>
      </c>
      <c r="D1429" s="229" t="s">
        <v>25</v>
      </c>
      <c r="E1429" s="229" t="s">
        <v>76</v>
      </c>
      <c r="F1429" s="229" t="s">
        <v>76</v>
      </c>
      <c r="G1429">
        <v>8</v>
      </c>
    </row>
    <row r="1430" spans="1:7" hidden="1" x14ac:dyDescent="0.2">
      <c r="A1430" t="str">
        <f t="shared" si="26"/>
        <v>SCM VASJAVA: Consulta Banco de DadosNSimples</v>
      </c>
      <c r="B1430" s="229" t="s">
        <v>236</v>
      </c>
      <c r="C1430" s="229" t="s">
        <v>208</v>
      </c>
      <c r="D1430" s="229" t="s">
        <v>24</v>
      </c>
      <c r="E1430" s="229" t="s">
        <v>26</v>
      </c>
      <c r="F1430" s="229"/>
      <c r="G1430">
        <v>2</v>
      </c>
    </row>
    <row r="1431" spans="1:7" hidden="1" x14ac:dyDescent="0.2">
      <c r="A1431" t="str">
        <f t="shared" si="26"/>
        <v>SCM VASJAVA: Consulta Banco de DadosNMédio</v>
      </c>
      <c r="B1431" s="229" t="s">
        <v>236</v>
      </c>
      <c r="C1431" s="229" t="s">
        <v>208</v>
      </c>
      <c r="D1431" s="229" t="s">
        <v>24</v>
      </c>
      <c r="E1431" s="229" t="s">
        <v>75</v>
      </c>
      <c r="F1431" s="229"/>
      <c r="G1431">
        <v>5</v>
      </c>
    </row>
    <row r="1432" spans="1:7" hidden="1" x14ac:dyDescent="0.2">
      <c r="A1432" t="str">
        <f t="shared" si="26"/>
        <v>SCM VASJAVA: Consulta Banco de DadosNComplexo</v>
      </c>
      <c r="B1432" s="229" t="s">
        <v>236</v>
      </c>
      <c r="C1432" s="229" t="s">
        <v>208</v>
      </c>
      <c r="D1432" s="229" t="s">
        <v>24</v>
      </c>
      <c r="E1432" s="229" t="s">
        <v>76</v>
      </c>
      <c r="F1432" s="229"/>
      <c r="G1432">
        <v>8</v>
      </c>
    </row>
    <row r="1433" spans="1:7" hidden="1" x14ac:dyDescent="0.2">
      <c r="A1433" t="str">
        <f t="shared" si="26"/>
        <v>SCM VASJAVA: Consulta Banco de DadosASimplesSimples</v>
      </c>
      <c r="B1433" s="229" t="s">
        <v>236</v>
      </c>
      <c r="C1433" s="229" t="s">
        <v>208</v>
      </c>
      <c r="D1433" s="229" t="s">
        <v>25</v>
      </c>
      <c r="E1433" s="229" t="s">
        <v>26</v>
      </c>
      <c r="F1433" s="229" t="s">
        <v>26</v>
      </c>
      <c r="G1433">
        <v>2</v>
      </c>
    </row>
    <row r="1434" spans="1:7" hidden="1" x14ac:dyDescent="0.2">
      <c r="A1434" t="str">
        <f t="shared" si="26"/>
        <v>SCM VASJAVA: Consulta Banco de DadosASimplesMédio</v>
      </c>
      <c r="B1434" s="229" t="s">
        <v>236</v>
      </c>
      <c r="C1434" s="229" t="s">
        <v>208</v>
      </c>
      <c r="D1434" s="229" t="s">
        <v>25</v>
      </c>
      <c r="E1434" s="229" t="s">
        <v>26</v>
      </c>
      <c r="F1434" s="229" t="s">
        <v>75</v>
      </c>
      <c r="G1434">
        <v>4</v>
      </c>
    </row>
    <row r="1435" spans="1:7" hidden="1" x14ac:dyDescent="0.2">
      <c r="A1435" t="str">
        <f t="shared" si="26"/>
        <v>SCM VASJAVA: Consulta Banco de DadosASimplesComplexo</v>
      </c>
      <c r="B1435" s="229" t="s">
        <v>236</v>
      </c>
      <c r="C1435" s="229" t="s">
        <v>208</v>
      </c>
      <c r="D1435" s="229" t="s">
        <v>25</v>
      </c>
      <c r="E1435" s="229" t="s">
        <v>26</v>
      </c>
      <c r="F1435" s="229" t="s">
        <v>76</v>
      </c>
      <c r="G1435">
        <v>6</v>
      </c>
    </row>
    <row r="1436" spans="1:7" hidden="1" x14ac:dyDescent="0.2">
      <c r="A1436" t="str">
        <f t="shared" si="26"/>
        <v>SCM VASJAVA: Consulta Banco de DadosAMédioSimples</v>
      </c>
      <c r="B1436" s="229" t="s">
        <v>236</v>
      </c>
      <c r="C1436" s="229" t="s">
        <v>208</v>
      </c>
      <c r="D1436" s="229" t="s">
        <v>25</v>
      </c>
      <c r="E1436" s="229" t="s">
        <v>75</v>
      </c>
      <c r="F1436" s="229" t="s">
        <v>26</v>
      </c>
      <c r="G1436">
        <v>3</v>
      </c>
    </row>
    <row r="1437" spans="1:7" hidden="1" x14ac:dyDescent="0.2">
      <c r="A1437" t="str">
        <f t="shared" si="26"/>
        <v>SCM VASJAVA: Consulta Banco de DadosAMédioMédio</v>
      </c>
      <c r="B1437" s="229" t="s">
        <v>236</v>
      </c>
      <c r="C1437" s="229" t="s">
        <v>208</v>
      </c>
      <c r="D1437" s="229" t="s">
        <v>25</v>
      </c>
      <c r="E1437" s="229" t="s">
        <v>75</v>
      </c>
      <c r="F1437" s="229" t="s">
        <v>75</v>
      </c>
      <c r="G1437">
        <v>6</v>
      </c>
    </row>
    <row r="1438" spans="1:7" hidden="1" x14ac:dyDescent="0.2">
      <c r="A1438" t="str">
        <f t="shared" si="26"/>
        <v>SCM VASJAVA: Consulta Banco de DadosAMédioComplexo</v>
      </c>
      <c r="B1438" s="229" t="s">
        <v>236</v>
      </c>
      <c r="C1438" s="229" t="s">
        <v>208</v>
      </c>
      <c r="D1438" s="229" t="s">
        <v>25</v>
      </c>
      <c r="E1438" s="229" t="s">
        <v>75</v>
      </c>
      <c r="F1438" s="229" t="s">
        <v>76</v>
      </c>
      <c r="G1438">
        <v>8</v>
      </c>
    </row>
    <row r="1439" spans="1:7" hidden="1" x14ac:dyDescent="0.2">
      <c r="A1439" t="str">
        <f t="shared" si="26"/>
        <v>SCM VASJAVA: Consulta Banco de DadosAComplexoSimples</v>
      </c>
      <c r="B1439" s="229" t="s">
        <v>236</v>
      </c>
      <c r="C1439" s="229" t="s">
        <v>208</v>
      </c>
      <c r="D1439" s="229" t="s">
        <v>25</v>
      </c>
      <c r="E1439" s="229" t="s">
        <v>76</v>
      </c>
      <c r="F1439" s="229" t="s">
        <v>26</v>
      </c>
      <c r="G1439">
        <v>5</v>
      </c>
    </row>
    <row r="1440" spans="1:7" hidden="1" x14ac:dyDescent="0.2">
      <c r="A1440" t="str">
        <f t="shared" si="26"/>
        <v>SCM VASJAVA: Consulta Banco de DadosAComplexoMédio</v>
      </c>
      <c r="B1440" s="229" t="s">
        <v>236</v>
      </c>
      <c r="C1440" s="229" t="s">
        <v>208</v>
      </c>
      <c r="D1440" s="229" t="s">
        <v>25</v>
      </c>
      <c r="E1440" s="229" t="s">
        <v>76</v>
      </c>
      <c r="F1440" s="229" t="s">
        <v>75</v>
      </c>
      <c r="G1440">
        <v>8</v>
      </c>
    </row>
    <row r="1441" spans="1:7" hidden="1" x14ac:dyDescent="0.2">
      <c r="A1441" t="str">
        <f t="shared" si="26"/>
        <v>SCM VASJAVA: Consulta Banco de DadosAComplexoComplexo</v>
      </c>
      <c r="B1441" s="229" t="s">
        <v>236</v>
      </c>
      <c r="C1441" s="229" t="s">
        <v>208</v>
      </c>
      <c r="D1441" s="229" t="s">
        <v>25</v>
      </c>
      <c r="E1441" s="229" t="s">
        <v>76</v>
      </c>
      <c r="F1441" s="229" t="s">
        <v>76</v>
      </c>
      <c r="G1441">
        <v>10</v>
      </c>
    </row>
    <row r="1442" spans="1:7" hidden="1" x14ac:dyDescent="0.2">
      <c r="A1442" t="str">
        <f t="shared" si="26"/>
        <v>SCM VASJAVA: Geração de StubsNSimples</v>
      </c>
      <c r="B1442" s="229" t="s">
        <v>236</v>
      </c>
      <c r="C1442" s="229" t="s">
        <v>209</v>
      </c>
      <c r="D1442" s="229" t="s">
        <v>24</v>
      </c>
      <c r="E1442" s="229" t="s">
        <v>26</v>
      </c>
      <c r="F1442" s="229"/>
      <c r="G1442">
        <v>1</v>
      </c>
    </row>
    <row r="1443" spans="1:7" hidden="1" x14ac:dyDescent="0.2">
      <c r="A1443" t="str">
        <f t="shared" si="26"/>
        <v>SCM VASJAVA: Geração de StubsNMédio</v>
      </c>
      <c r="B1443" s="229" t="s">
        <v>236</v>
      </c>
      <c r="C1443" s="229" t="s">
        <v>209</v>
      </c>
      <c r="D1443" s="229" t="s">
        <v>24</v>
      </c>
      <c r="E1443" s="229" t="s">
        <v>75</v>
      </c>
      <c r="F1443" s="229"/>
      <c r="G1443">
        <v>3</v>
      </c>
    </row>
    <row r="1444" spans="1:7" hidden="1" x14ac:dyDescent="0.2">
      <c r="A1444" t="str">
        <f t="shared" si="26"/>
        <v>SCM VASJAVA: Geração de StubsNComplexo</v>
      </c>
      <c r="B1444" s="229" t="s">
        <v>236</v>
      </c>
      <c r="C1444" s="229" t="s">
        <v>209</v>
      </c>
      <c r="D1444" s="229" t="s">
        <v>24</v>
      </c>
      <c r="E1444" s="229" t="s">
        <v>76</v>
      </c>
      <c r="F1444" s="229"/>
      <c r="G1444">
        <v>8</v>
      </c>
    </row>
    <row r="1445" spans="1:7" hidden="1" x14ac:dyDescent="0.2">
      <c r="A1445" t="str">
        <f t="shared" si="26"/>
        <v>SCM VASJAVA: Geração de StubsASimplesSimples</v>
      </c>
      <c r="B1445" s="229" t="s">
        <v>236</v>
      </c>
      <c r="C1445" s="229" t="s">
        <v>209</v>
      </c>
      <c r="D1445" s="229" t="s">
        <v>25</v>
      </c>
      <c r="E1445" s="229" t="s">
        <v>26</v>
      </c>
      <c r="F1445" s="229" t="s">
        <v>26</v>
      </c>
      <c r="G1445">
        <v>1</v>
      </c>
    </row>
    <row r="1446" spans="1:7" hidden="1" x14ac:dyDescent="0.2">
      <c r="A1446" t="str">
        <f t="shared" si="26"/>
        <v>SCM VASJAVA: Geração de StubsASimplesMédio</v>
      </c>
      <c r="B1446" s="229" t="s">
        <v>236</v>
      </c>
      <c r="C1446" s="229" t="s">
        <v>209</v>
      </c>
      <c r="D1446" s="229" t="s">
        <v>25</v>
      </c>
      <c r="E1446" s="229" t="s">
        <v>26</v>
      </c>
      <c r="F1446" s="229" t="s">
        <v>75</v>
      </c>
      <c r="G1446">
        <v>2</v>
      </c>
    </row>
    <row r="1447" spans="1:7" hidden="1" x14ac:dyDescent="0.2">
      <c r="A1447" t="str">
        <f t="shared" si="26"/>
        <v>SCM VASJAVA: Geração de StubsASimplesComplexo</v>
      </c>
      <c r="B1447" s="229" t="s">
        <v>236</v>
      </c>
      <c r="C1447" s="229" t="s">
        <v>209</v>
      </c>
      <c r="D1447" s="229" t="s">
        <v>25</v>
      </c>
      <c r="E1447" s="229" t="s">
        <v>26</v>
      </c>
      <c r="F1447" s="229" t="s">
        <v>76</v>
      </c>
      <c r="G1447">
        <v>3</v>
      </c>
    </row>
    <row r="1448" spans="1:7" hidden="1" x14ac:dyDescent="0.2">
      <c r="A1448" t="str">
        <f t="shared" si="26"/>
        <v>SCM VASJAVA: Geração de StubsAMédioSimples</v>
      </c>
      <c r="B1448" s="229" t="s">
        <v>236</v>
      </c>
      <c r="C1448" s="229" t="s">
        <v>209</v>
      </c>
      <c r="D1448" s="229" t="s">
        <v>25</v>
      </c>
      <c r="E1448" s="229" t="s">
        <v>75</v>
      </c>
      <c r="F1448" s="229" t="s">
        <v>26</v>
      </c>
      <c r="G1448">
        <v>2</v>
      </c>
    </row>
    <row r="1449" spans="1:7" hidden="1" x14ac:dyDescent="0.2">
      <c r="A1449" t="str">
        <f t="shared" si="26"/>
        <v>SCM VASJAVA: Geração de StubsAMédioMédio</v>
      </c>
      <c r="B1449" s="229" t="s">
        <v>236</v>
      </c>
      <c r="C1449" s="229" t="s">
        <v>209</v>
      </c>
      <c r="D1449" s="229" t="s">
        <v>25</v>
      </c>
      <c r="E1449" s="229" t="s">
        <v>75</v>
      </c>
      <c r="F1449" s="229" t="s">
        <v>75</v>
      </c>
      <c r="G1449">
        <v>3</v>
      </c>
    </row>
    <row r="1450" spans="1:7" hidden="1" x14ac:dyDescent="0.2">
      <c r="A1450" t="str">
        <f t="shared" si="26"/>
        <v>SCM VASJAVA: Geração de StubsAMédioComplexo</v>
      </c>
      <c r="B1450" s="229" t="s">
        <v>236</v>
      </c>
      <c r="C1450" s="229" t="s">
        <v>209</v>
      </c>
      <c r="D1450" s="229" t="s">
        <v>25</v>
      </c>
      <c r="E1450" s="229" t="s">
        <v>75</v>
      </c>
      <c r="F1450" s="229" t="s">
        <v>76</v>
      </c>
      <c r="G1450">
        <v>5</v>
      </c>
    </row>
    <row r="1451" spans="1:7" hidden="1" x14ac:dyDescent="0.2">
      <c r="A1451" t="str">
        <f t="shared" si="26"/>
        <v>SCM VASJAVA: Geração de StubsAComplexoSimples</v>
      </c>
      <c r="B1451" s="229" t="s">
        <v>236</v>
      </c>
      <c r="C1451" s="229" t="s">
        <v>209</v>
      </c>
      <c r="D1451" s="229" t="s">
        <v>25</v>
      </c>
      <c r="E1451" s="229" t="s">
        <v>76</v>
      </c>
      <c r="F1451" s="229" t="s">
        <v>26</v>
      </c>
      <c r="G1451">
        <v>4</v>
      </c>
    </row>
    <row r="1452" spans="1:7" hidden="1" x14ac:dyDescent="0.2">
      <c r="A1452" t="str">
        <f t="shared" si="26"/>
        <v>SCM VASJAVA: Geração de StubsAComplexoMédio</v>
      </c>
      <c r="B1452" s="229" t="s">
        <v>236</v>
      </c>
      <c r="C1452" s="229" t="s">
        <v>209</v>
      </c>
      <c r="D1452" s="229" t="s">
        <v>25</v>
      </c>
      <c r="E1452" s="229" t="s">
        <v>76</v>
      </c>
      <c r="F1452" s="229" t="s">
        <v>75</v>
      </c>
      <c r="G1452">
        <v>6</v>
      </c>
    </row>
    <row r="1453" spans="1:7" hidden="1" x14ac:dyDescent="0.2">
      <c r="A1453" t="str">
        <f t="shared" si="26"/>
        <v>SCM VASJAVA: Geração de StubsAComplexoComplexo</v>
      </c>
      <c r="B1453" s="229" t="s">
        <v>236</v>
      </c>
      <c r="C1453" s="229" t="s">
        <v>209</v>
      </c>
      <c r="D1453" s="229" t="s">
        <v>25</v>
      </c>
      <c r="E1453" s="229" t="s">
        <v>76</v>
      </c>
      <c r="F1453" s="229" t="s">
        <v>76</v>
      </c>
      <c r="G1453">
        <v>8</v>
      </c>
    </row>
    <row r="1454" spans="1:7" hidden="1" x14ac:dyDescent="0.2">
      <c r="A1454" t="str">
        <f t="shared" si="26"/>
        <v>SCM VASJSPNSimples</v>
      </c>
      <c r="B1454" s="229" t="s">
        <v>236</v>
      </c>
      <c r="C1454" s="229" t="s">
        <v>210</v>
      </c>
      <c r="D1454" s="229" t="s">
        <v>24</v>
      </c>
      <c r="E1454" s="229" t="s">
        <v>26</v>
      </c>
      <c r="F1454" s="229"/>
      <c r="G1454">
        <v>12</v>
      </c>
    </row>
    <row r="1455" spans="1:7" hidden="1" x14ac:dyDescent="0.2">
      <c r="A1455" t="str">
        <f t="shared" si="26"/>
        <v>SCM VASJSPNMédio</v>
      </c>
      <c r="B1455" s="229" t="s">
        <v>236</v>
      </c>
      <c r="C1455" s="229" t="s">
        <v>210</v>
      </c>
      <c r="D1455" s="229" t="s">
        <v>24</v>
      </c>
      <c r="E1455" s="229" t="s">
        <v>75</v>
      </c>
      <c r="F1455" s="229"/>
      <c r="G1455">
        <v>18</v>
      </c>
    </row>
    <row r="1456" spans="1:7" hidden="1" x14ac:dyDescent="0.2">
      <c r="A1456" t="str">
        <f t="shared" si="26"/>
        <v>SCM VASJSPNComplexo</v>
      </c>
      <c r="B1456" s="229" t="s">
        <v>236</v>
      </c>
      <c r="C1456" s="229" t="s">
        <v>210</v>
      </c>
      <c r="D1456" s="229" t="s">
        <v>24</v>
      </c>
      <c r="E1456" s="229" t="s">
        <v>76</v>
      </c>
      <c r="F1456" s="229"/>
      <c r="G1456">
        <v>24</v>
      </c>
    </row>
    <row r="1457" spans="1:7" hidden="1" x14ac:dyDescent="0.2">
      <c r="A1457" t="str">
        <f t="shared" si="26"/>
        <v>SCM VASJSPASimplesSimples</v>
      </c>
      <c r="B1457" s="229" t="s">
        <v>236</v>
      </c>
      <c r="C1457" s="229" t="s">
        <v>210</v>
      </c>
      <c r="D1457" s="229" t="s">
        <v>25</v>
      </c>
      <c r="E1457" s="229" t="s">
        <v>26</v>
      </c>
      <c r="F1457" s="229" t="s">
        <v>26</v>
      </c>
      <c r="G1457">
        <v>5</v>
      </c>
    </row>
    <row r="1458" spans="1:7" hidden="1" x14ac:dyDescent="0.2">
      <c r="A1458" t="str">
        <f t="shared" si="26"/>
        <v>SCM VASJSPASimplesMédio</v>
      </c>
      <c r="B1458" s="229" t="s">
        <v>236</v>
      </c>
      <c r="C1458" s="229" t="s">
        <v>210</v>
      </c>
      <c r="D1458" s="229" t="s">
        <v>25</v>
      </c>
      <c r="E1458" s="229" t="s">
        <v>26</v>
      </c>
      <c r="F1458" s="229" t="s">
        <v>75</v>
      </c>
      <c r="G1458">
        <v>8</v>
      </c>
    </row>
    <row r="1459" spans="1:7" hidden="1" x14ac:dyDescent="0.2">
      <c r="A1459" t="str">
        <f t="shared" si="26"/>
        <v>SCM VASJSPASimplesComplexo</v>
      </c>
      <c r="B1459" s="229" t="s">
        <v>236</v>
      </c>
      <c r="C1459" s="229" t="s">
        <v>210</v>
      </c>
      <c r="D1459" s="229" t="s">
        <v>25</v>
      </c>
      <c r="E1459" s="229" t="s">
        <v>26</v>
      </c>
      <c r="F1459" s="229" t="s">
        <v>76</v>
      </c>
      <c r="G1459">
        <v>10</v>
      </c>
    </row>
    <row r="1460" spans="1:7" hidden="1" x14ac:dyDescent="0.2">
      <c r="A1460" t="str">
        <f t="shared" si="26"/>
        <v>SCM VASJSPAMédioSimples</v>
      </c>
      <c r="B1460" s="229" t="s">
        <v>236</v>
      </c>
      <c r="C1460" s="229" t="s">
        <v>210</v>
      </c>
      <c r="D1460" s="229" t="s">
        <v>25</v>
      </c>
      <c r="E1460" s="229" t="s">
        <v>75</v>
      </c>
      <c r="F1460" s="229" t="s">
        <v>26</v>
      </c>
      <c r="G1460">
        <v>8</v>
      </c>
    </row>
    <row r="1461" spans="1:7" hidden="1" x14ac:dyDescent="0.2">
      <c r="A1461" t="str">
        <f t="shared" si="26"/>
        <v>SCM VASJSPAMédioMédio</v>
      </c>
      <c r="B1461" s="229" t="s">
        <v>236</v>
      </c>
      <c r="C1461" s="229" t="s">
        <v>210</v>
      </c>
      <c r="D1461" s="229" t="s">
        <v>25</v>
      </c>
      <c r="E1461" s="229" t="s">
        <v>75</v>
      </c>
      <c r="F1461" s="229" t="s">
        <v>75</v>
      </c>
      <c r="G1461">
        <v>10</v>
      </c>
    </row>
    <row r="1462" spans="1:7" hidden="1" x14ac:dyDescent="0.2">
      <c r="A1462" t="str">
        <f t="shared" si="26"/>
        <v>SCM VASJSPAMédioComplexo</v>
      </c>
      <c r="B1462" s="229" t="s">
        <v>236</v>
      </c>
      <c r="C1462" s="229" t="s">
        <v>210</v>
      </c>
      <c r="D1462" s="229" t="s">
        <v>25</v>
      </c>
      <c r="E1462" s="229" t="s">
        <v>75</v>
      </c>
      <c r="F1462" s="229" t="s">
        <v>76</v>
      </c>
      <c r="G1462">
        <v>12</v>
      </c>
    </row>
    <row r="1463" spans="1:7" hidden="1" x14ac:dyDescent="0.2">
      <c r="A1463" t="str">
        <f t="shared" si="26"/>
        <v>SCM VASJSPAComplexoSimples</v>
      </c>
      <c r="B1463" s="229" t="s">
        <v>236</v>
      </c>
      <c r="C1463" s="229" t="s">
        <v>210</v>
      </c>
      <c r="D1463" s="229" t="s">
        <v>25</v>
      </c>
      <c r="E1463" s="229" t="s">
        <v>76</v>
      </c>
      <c r="F1463" s="229" t="s">
        <v>26</v>
      </c>
      <c r="G1463">
        <v>6</v>
      </c>
    </row>
    <row r="1464" spans="1:7" hidden="1" x14ac:dyDescent="0.2">
      <c r="A1464" t="str">
        <f t="shared" si="26"/>
        <v>SCM VASJSPAComplexoMédio</v>
      </c>
      <c r="B1464" s="229" t="s">
        <v>236</v>
      </c>
      <c r="C1464" s="229" t="s">
        <v>210</v>
      </c>
      <c r="D1464" s="229" t="s">
        <v>25</v>
      </c>
      <c r="E1464" s="229" t="s">
        <v>76</v>
      </c>
      <c r="F1464" s="229" t="s">
        <v>75</v>
      </c>
      <c r="G1464">
        <v>12</v>
      </c>
    </row>
    <row r="1465" spans="1:7" hidden="1" x14ac:dyDescent="0.2">
      <c r="A1465" t="str">
        <f t="shared" si="26"/>
        <v>SCM VASJSPAComplexoComplexo</v>
      </c>
      <c r="B1465" s="229" t="s">
        <v>236</v>
      </c>
      <c r="C1465" s="229" t="s">
        <v>210</v>
      </c>
      <c r="D1465" s="229" t="s">
        <v>25</v>
      </c>
      <c r="E1465" s="229" t="s">
        <v>76</v>
      </c>
      <c r="F1465" s="229" t="s">
        <v>76</v>
      </c>
      <c r="G1465">
        <v>22</v>
      </c>
    </row>
    <row r="1466" spans="1:7" hidden="1" x14ac:dyDescent="0.2">
      <c r="A1466" t="str">
        <f t="shared" si="26"/>
        <v>SCM VASConfiguração Projeto/MóduloNSimples</v>
      </c>
      <c r="B1466" s="229" t="s">
        <v>236</v>
      </c>
      <c r="C1466" s="229" t="s">
        <v>221</v>
      </c>
      <c r="D1466" s="229" t="s">
        <v>24</v>
      </c>
      <c r="E1466" s="229" t="s">
        <v>26</v>
      </c>
      <c r="F1466" s="229"/>
      <c r="G1466">
        <v>2</v>
      </c>
    </row>
    <row r="1467" spans="1:7" hidden="1" x14ac:dyDescent="0.2">
      <c r="A1467" t="str">
        <f t="shared" si="26"/>
        <v>SCM VASConfiguração Projeto/MóduloNMédio</v>
      </c>
      <c r="B1467" s="229" t="s">
        <v>236</v>
      </c>
      <c r="C1467" s="229" t="s">
        <v>221</v>
      </c>
      <c r="D1467" s="229" t="s">
        <v>24</v>
      </c>
      <c r="E1467" s="229" t="s">
        <v>75</v>
      </c>
      <c r="F1467" s="229"/>
      <c r="G1467">
        <v>4</v>
      </c>
    </row>
    <row r="1468" spans="1:7" hidden="1" x14ac:dyDescent="0.2">
      <c r="A1468" t="str">
        <f t="shared" si="26"/>
        <v>SCM VASConfiguração Projeto/MóduloNComplexo</v>
      </c>
      <c r="B1468" s="229" t="s">
        <v>236</v>
      </c>
      <c r="C1468" s="229" t="s">
        <v>221</v>
      </c>
      <c r="D1468" s="229" t="s">
        <v>24</v>
      </c>
      <c r="E1468" s="229" t="s">
        <v>76</v>
      </c>
      <c r="F1468" s="229"/>
      <c r="G1468">
        <v>8</v>
      </c>
    </row>
    <row r="1469" spans="1:7" hidden="1" x14ac:dyDescent="0.2">
      <c r="A1469" t="str">
        <f t="shared" si="26"/>
        <v>SCM VASConfiguração Projeto/MóduloASimplesSimples</v>
      </c>
      <c r="B1469" s="229" t="s">
        <v>236</v>
      </c>
      <c r="C1469" s="229" t="s">
        <v>221</v>
      </c>
      <c r="D1469" s="229" t="s">
        <v>25</v>
      </c>
      <c r="E1469" s="229" t="s">
        <v>26</v>
      </c>
      <c r="F1469" s="229" t="s">
        <v>26</v>
      </c>
      <c r="G1469">
        <v>1</v>
      </c>
    </row>
    <row r="1470" spans="1:7" hidden="1" x14ac:dyDescent="0.2">
      <c r="A1470" t="str">
        <f t="shared" si="26"/>
        <v>SCM VASConfiguração Projeto/MóduloASimplesMédio</v>
      </c>
      <c r="B1470" s="229" t="s">
        <v>236</v>
      </c>
      <c r="C1470" s="229" t="s">
        <v>221</v>
      </c>
      <c r="D1470" s="229" t="s">
        <v>25</v>
      </c>
      <c r="E1470" s="229" t="s">
        <v>26</v>
      </c>
      <c r="F1470" s="229" t="s">
        <v>75</v>
      </c>
      <c r="G1470">
        <v>2</v>
      </c>
    </row>
    <row r="1471" spans="1:7" hidden="1" x14ac:dyDescent="0.2">
      <c r="A1471" t="str">
        <f t="shared" si="26"/>
        <v>SCM VASConfiguração Projeto/MóduloASimplesComplexo</v>
      </c>
      <c r="B1471" s="229" t="s">
        <v>236</v>
      </c>
      <c r="C1471" s="229" t="s">
        <v>221</v>
      </c>
      <c r="D1471" s="229" t="s">
        <v>25</v>
      </c>
      <c r="E1471" s="229" t="s">
        <v>26</v>
      </c>
      <c r="F1471" s="229" t="s">
        <v>76</v>
      </c>
      <c r="G1471">
        <v>4</v>
      </c>
    </row>
    <row r="1472" spans="1:7" hidden="1" x14ac:dyDescent="0.2">
      <c r="A1472" t="str">
        <f t="shared" si="26"/>
        <v>SCM VASConfiguração Projeto/MóduloAMédioSimples</v>
      </c>
      <c r="B1472" s="229" t="s">
        <v>236</v>
      </c>
      <c r="C1472" s="229" t="s">
        <v>221</v>
      </c>
      <c r="D1472" s="229" t="s">
        <v>25</v>
      </c>
      <c r="E1472" s="229" t="s">
        <v>75</v>
      </c>
      <c r="F1472" s="229" t="s">
        <v>26</v>
      </c>
      <c r="G1472">
        <v>2</v>
      </c>
    </row>
    <row r="1473" spans="1:7" hidden="1" x14ac:dyDescent="0.2">
      <c r="A1473" t="str">
        <f t="shared" ref="A1473:A1477" si="27">B1473&amp;C1473&amp;D1473&amp;E1473&amp;F1473</f>
        <v>SCM VASConfiguração Projeto/MóduloAMédioMédio</v>
      </c>
      <c r="B1473" s="229" t="s">
        <v>236</v>
      </c>
      <c r="C1473" s="229" t="s">
        <v>221</v>
      </c>
      <c r="D1473" s="229" t="s">
        <v>25</v>
      </c>
      <c r="E1473" s="229" t="s">
        <v>75</v>
      </c>
      <c r="F1473" s="229" t="s">
        <v>75</v>
      </c>
      <c r="G1473">
        <v>4</v>
      </c>
    </row>
    <row r="1474" spans="1:7" hidden="1" x14ac:dyDescent="0.2">
      <c r="A1474" t="str">
        <f t="shared" si="27"/>
        <v>SCM VASConfiguração Projeto/MóduloAMédioComplexo</v>
      </c>
      <c r="B1474" s="229" t="s">
        <v>236</v>
      </c>
      <c r="C1474" s="229" t="s">
        <v>221</v>
      </c>
      <c r="D1474" s="229" t="s">
        <v>25</v>
      </c>
      <c r="E1474" s="229" t="s">
        <v>75</v>
      </c>
      <c r="F1474" s="229" t="s">
        <v>76</v>
      </c>
      <c r="G1474">
        <v>5</v>
      </c>
    </row>
    <row r="1475" spans="1:7" hidden="1" x14ac:dyDescent="0.2">
      <c r="A1475" t="str">
        <f t="shared" si="27"/>
        <v>SCM VASConfiguração Projeto/MóduloAComplexoSimples</v>
      </c>
      <c r="B1475" s="229" t="s">
        <v>236</v>
      </c>
      <c r="C1475" s="229" t="s">
        <v>221</v>
      </c>
      <c r="D1475" s="229" t="s">
        <v>25</v>
      </c>
      <c r="E1475" s="229" t="s">
        <v>76</v>
      </c>
      <c r="F1475" s="229" t="s">
        <v>26</v>
      </c>
      <c r="G1475">
        <v>5</v>
      </c>
    </row>
    <row r="1476" spans="1:7" hidden="1" x14ac:dyDescent="0.2">
      <c r="A1476" t="str">
        <f t="shared" si="27"/>
        <v>SCM VASConfiguração Projeto/MóduloAComplexoMédio</v>
      </c>
      <c r="B1476" s="229" t="s">
        <v>236</v>
      </c>
      <c r="C1476" s="229" t="s">
        <v>221</v>
      </c>
      <c r="D1476" s="229" t="s">
        <v>25</v>
      </c>
      <c r="E1476" s="229" t="s">
        <v>76</v>
      </c>
      <c r="F1476" s="229" t="s">
        <v>75</v>
      </c>
      <c r="G1476">
        <v>7</v>
      </c>
    </row>
    <row r="1477" spans="1:7" hidden="1" x14ac:dyDescent="0.2">
      <c r="A1477" t="str">
        <f t="shared" si="27"/>
        <v>SCM VASConfiguração Projeto/MóduloAComplexoComplexo</v>
      </c>
      <c r="B1477" s="229" t="s">
        <v>236</v>
      </c>
      <c r="C1477" s="229" t="s">
        <v>221</v>
      </c>
      <c r="D1477" s="229" t="s">
        <v>25</v>
      </c>
      <c r="E1477" s="229" t="s">
        <v>76</v>
      </c>
      <c r="F1477" s="229" t="s">
        <v>76</v>
      </c>
      <c r="G1477">
        <v>8</v>
      </c>
    </row>
    <row r="1478" spans="1:7" x14ac:dyDescent="0.2">
      <c r="A1478" t="s">
        <v>242</v>
      </c>
      <c r="B1478" s="229" t="s">
        <v>214</v>
      </c>
      <c r="C1478" s="229" t="s">
        <v>218</v>
      </c>
      <c r="D1478" s="229" t="s">
        <v>24</v>
      </c>
      <c r="E1478" s="229" t="s">
        <v>26</v>
      </c>
      <c r="F1478" s="229"/>
      <c r="G1478">
        <v>3</v>
      </c>
    </row>
    <row r="1479" spans="1:7" x14ac:dyDescent="0.2">
      <c r="A1479" t="s">
        <v>243</v>
      </c>
      <c r="B1479" s="229" t="s">
        <v>214</v>
      </c>
      <c r="C1479" s="229" t="s">
        <v>218</v>
      </c>
      <c r="D1479" s="229" t="s">
        <v>24</v>
      </c>
      <c r="E1479" s="229" t="s">
        <v>75</v>
      </c>
      <c r="F1479" s="229"/>
      <c r="G1479">
        <v>5</v>
      </c>
    </row>
    <row r="1480" spans="1:7" x14ac:dyDescent="0.2">
      <c r="A1480" t="s">
        <v>244</v>
      </c>
      <c r="B1480" s="229" t="s">
        <v>214</v>
      </c>
      <c r="C1480" s="229" t="s">
        <v>218</v>
      </c>
      <c r="D1480" s="229" t="s">
        <v>24</v>
      </c>
      <c r="E1480" s="229" t="s">
        <v>76</v>
      </c>
      <c r="F1480" s="229"/>
      <c r="G1480">
        <v>9</v>
      </c>
    </row>
    <row r="1481" spans="1:7" x14ac:dyDescent="0.2">
      <c r="A1481" t="s">
        <v>245</v>
      </c>
      <c r="B1481" s="229" t="s">
        <v>214</v>
      </c>
      <c r="C1481" s="229" t="s">
        <v>218</v>
      </c>
      <c r="D1481" s="229" t="s">
        <v>25</v>
      </c>
      <c r="E1481" s="229" t="s">
        <v>26</v>
      </c>
      <c r="F1481" s="229" t="s">
        <v>26</v>
      </c>
      <c r="G1481">
        <v>2</v>
      </c>
    </row>
    <row r="1482" spans="1:7" x14ac:dyDescent="0.2">
      <c r="A1482" t="s">
        <v>246</v>
      </c>
      <c r="B1482" s="229" t="s">
        <v>214</v>
      </c>
      <c r="C1482" s="229" t="s">
        <v>218</v>
      </c>
      <c r="D1482" s="229" t="s">
        <v>25</v>
      </c>
      <c r="E1482" s="229" t="s">
        <v>26</v>
      </c>
      <c r="F1482" s="229" t="s">
        <v>75</v>
      </c>
      <c r="G1482">
        <v>4</v>
      </c>
    </row>
    <row r="1483" spans="1:7" x14ac:dyDescent="0.2">
      <c r="A1483" t="s">
        <v>247</v>
      </c>
      <c r="B1483" s="229" t="s">
        <v>214</v>
      </c>
      <c r="C1483" s="229" t="s">
        <v>218</v>
      </c>
      <c r="D1483" s="229" t="s">
        <v>25</v>
      </c>
      <c r="E1483" s="229" t="s">
        <v>26</v>
      </c>
      <c r="F1483" s="229" t="s">
        <v>76</v>
      </c>
      <c r="G1483">
        <v>6</v>
      </c>
    </row>
    <row r="1484" spans="1:7" x14ac:dyDescent="0.2">
      <c r="A1484" t="s">
        <v>248</v>
      </c>
      <c r="B1484" s="229" t="s">
        <v>214</v>
      </c>
      <c r="C1484" s="229" t="s">
        <v>218</v>
      </c>
      <c r="D1484" s="229" t="s">
        <v>25</v>
      </c>
      <c r="E1484" s="229" t="s">
        <v>75</v>
      </c>
      <c r="F1484" s="229" t="s">
        <v>26</v>
      </c>
      <c r="G1484">
        <v>3</v>
      </c>
    </row>
    <row r="1485" spans="1:7" x14ac:dyDescent="0.2">
      <c r="A1485" t="s">
        <v>249</v>
      </c>
      <c r="B1485" s="229" t="s">
        <v>214</v>
      </c>
      <c r="C1485" s="229" t="s">
        <v>218</v>
      </c>
      <c r="D1485" s="229" t="s">
        <v>25</v>
      </c>
      <c r="E1485" s="229" t="s">
        <v>75</v>
      </c>
      <c r="F1485" s="229" t="s">
        <v>75</v>
      </c>
      <c r="G1485">
        <v>6</v>
      </c>
    </row>
    <row r="1486" spans="1:7" x14ac:dyDescent="0.2">
      <c r="A1486" t="s">
        <v>250</v>
      </c>
      <c r="B1486" s="229" t="s">
        <v>214</v>
      </c>
      <c r="C1486" s="229" t="s">
        <v>218</v>
      </c>
      <c r="D1486" s="229" t="s">
        <v>25</v>
      </c>
      <c r="E1486" s="229" t="s">
        <v>75</v>
      </c>
      <c r="F1486" s="229" t="s">
        <v>76</v>
      </c>
      <c r="G1486">
        <v>8</v>
      </c>
    </row>
    <row r="1487" spans="1:7" x14ac:dyDescent="0.2">
      <c r="A1487" t="s">
        <v>251</v>
      </c>
      <c r="B1487" s="229" t="s">
        <v>214</v>
      </c>
      <c r="C1487" s="229" t="s">
        <v>218</v>
      </c>
      <c r="D1487" s="229" t="s">
        <v>25</v>
      </c>
      <c r="E1487" s="229" t="s">
        <v>76</v>
      </c>
      <c r="F1487" s="229" t="s">
        <v>26</v>
      </c>
      <c r="G1487">
        <v>6</v>
      </c>
    </row>
    <row r="1488" spans="1:7" x14ac:dyDescent="0.2">
      <c r="A1488" t="s">
        <v>252</v>
      </c>
      <c r="B1488" s="229" t="s">
        <v>214</v>
      </c>
      <c r="C1488" s="229" t="s">
        <v>218</v>
      </c>
      <c r="D1488" s="229" t="s">
        <v>25</v>
      </c>
      <c r="E1488" s="229" t="s">
        <v>76</v>
      </c>
      <c r="F1488" s="229" t="s">
        <v>75</v>
      </c>
      <c r="G1488">
        <v>8</v>
      </c>
    </row>
    <row r="1489" spans="1:7" x14ac:dyDescent="0.2">
      <c r="A1489" t="s">
        <v>253</v>
      </c>
      <c r="B1489" s="229" t="s">
        <v>214</v>
      </c>
      <c r="C1489" s="229" t="s">
        <v>218</v>
      </c>
      <c r="D1489" s="229" t="s">
        <v>25</v>
      </c>
      <c r="E1489" s="229" t="s">
        <v>76</v>
      </c>
      <c r="F1489" s="229" t="s">
        <v>76</v>
      </c>
      <c r="G1489">
        <v>12</v>
      </c>
    </row>
    <row r="1490" spans="1:7" x14ac:dyDescent="0.2">
      <c r="A1490" t="s">
        <v>254</v>
      </c>
      <c r="B1490" s="229" t="s">
        <v>214</v>
      </c>
      <c r="C1490" s="229" t="s">
        <v>219</v>
      </c>
      <c r="D1490" s="229" t="s">
        <v>24</v>
      </c>
      <c r="E1490" s="229" t="s">
        <v>26</v>
      </c>
      <c r="F1490" s="229"/>
      <c r="G1490">
        <v>3</v>
      </c>
    </row>
    <row r="1491" spans="1:7" x14ac:dyDescent="0.2">
      <c r="A1491" t="s">
        <v>255</v>
      </c>
      <c r="B1491" s="229" t="s">
        <v>214</v>
      </c>
      <c r="C1491" s="229" t="s">
        <v>219</v>
      </c>
      <c r="D1491" s="229" t="s">
        <v>24</v>
      </c>
      <c r="E1491" s="229" t="s">
        <v>75</v>
      </c>
      <c r="F1491" s="229"/>
      <c r="G1491">
        <v>5</v>
      </c>
    </row>
    <row r="1492" spans="1:7" x14ac:dyDescent="0.2">
      <c r="A1492" t="s">
        <v>256</v>
      </c>
      <c r="B1492" s="229" t="s">
        <v>214</v>
      </c>
      <c r="C1492" s="229" t="s">
        <v>219</v>
      </c>
      <c r="D1492" s="229" t="s">
        <v>24</v>
      </c>
      <c r="E1492" s="229" t="s">
        <v>76</v>
      </c>
      <c r="F1492" s="229"/>
      <c r="G1492">
        <v>9</v>
      </c>
    </row>
    <row r="1493" spans="1:7" x14ac:dyDescent="0.2">
      <c r="A1493" t="s">
        <v>257</v>
      </c>
      <c r="B1493" s="229" t="s">
        <v>214</v>
      </c>
      <c r="C1493" s="229" t="s">
        <v>219</v>
      </c>
      <c r="D1493" s="229" t="s">
        <v>25</v>
      </c>
      <c r="E1493" s="229" t="s">
        <v>26</v>
      </c>
      <c r="F1493" s="229" t="s">
        <v>26</v>
      </c>
      <c r="G1493">
        <v>2</v>
      </c>
    </row>
    <row r="1494" spans="1:7" x14ac:dyDescent="0.2">
      <c r="A1494" t="s">
        <v>258</v>
      </c>
      <c r="B1494" s="229" t="s">
        <v>214</v>
      </c>
      <c r="C1494" s="229" t="s">
        <v>219</v>
      </c>
      <c r="D1494" s="229" t="s">
        <v>25</v>
      </c>
      <c r="E1494" s="229" t="s">
        <v>26</v>
      </c>
      <c r="F1494" s="229" t="s">
        <v>75</v>
      </c>
      <c r="G1494">
        <v>4</v>
      </c>
    </row>
    <row r="1495" spans="1:7" x14ac:dyDescent="0.2">
      <c r="A1495" t="s">
        <v>259</v>
      </c>
      <c r="B1495" s="229" t="s">
        <v>214</v>
      </c>
      <c r="C1495" s="229" t="s">
        <v>219</v>
      </c>
      <c r="D1495" s="229" t="s">
        <v>25</v>
      </c>
      <c r="E1495" s="229" t="s">
        <v>26</v>
      </c>
      <c r="F1495" s="229" t="s">
        <v>76</v>
      </c>
      <c r="G1495">
        <v>5</v>
      </c>
    </row>
    <row r="1496" spans="1:7" x14ac:dyDescent="0.2">
      <c r="A1496" t="s">
        <v>260</v>
      </c>
      <c r="B1496" s="229" t="s">
        <v>214</v>
      </c>
      <c r="C1496" s="229" t="s">
        <v>219</v>
      </c>
      <c r="D1496" s="229" t="s">
        <v>25</v>
      </c>
      <c r="E1496" s="229" t="s">
        <v>75</v>
      </c>
      <c r="F1496" s="229" t="s">
        <v>26</v>
      </c>
      <c r="G1496">
        <v>3</v>
      </c>
    </row>
    <row r="1497" spans="1:7" x14ac:dyDescent="0.2">
      <c r="A1497" t="s">
        <v>261</v>
      </c>
      <c r="B1497" s="229" t="s">
        <v>214</v>
      </c>
      <c r="C1497" s="229" t="s">
        <v>219</v>
      </c>
      <c r="D1497" s="229" t="s">
        <v>25</v>
      </c>
      <c r="E1497" s="229" t="s">
        <v>75</v>
      </c>
      <c r="F1497" s="229" t="s">
        <v>75</v>
      </c>
      <c r="G1497">
        <v>5</v>
      </c>
    </row>
    <row r="1498" spans="1:7" x14ac:dyDescent="0.2">
      <c r="A1498" t="s">
        <v>262</v>
      </c>
      <c r="B1498" s="229" t="s">
        <v>214</v>
      </c>
      <c r="C1498" s="229" t="s">
        <v>219</v>
      </c>
      <c r="D1498" s="229" t="s">
        <v>25</v>
      </c>
      <c r="E1498" s="229" t="s">
        <v>75</v>
      </c>
      <c r="F1498" s="229" t="s">
        <v>76</v>
      </c>
      <c r="G1498">
        <v>7</v>
      </c>
    </row>
    <row r="1499" spans="1:7" x14ac:dyDescent="0.2">
      <c r="A1499" t="s">
        <v>263</v>
      </c>
      <c r="B1499" s="229" t="s">
        <v>214</v>
      </c>
      <c r="C1499" s="229" t="s">
        <v>219</v>
      </c>
      <c r="D1499" s="229" t="s">
        <v>25</v>
      </c>
      <c r="E1499" s="229" t="s">
        <v>76</v>
      </c>
      <c r="F1499" s="229" t="s">
        <v>26</v>
      </c>
      <c r="G1499">
        <v>4</v>
      </c>
    </row>
    <row r="1500" spans="1:7" x14ac:dyDescent="0.2">
      <c r="A1500" t="s">
        <v>264</v>
      </c>
      <c r="B1500" s="229" t="s">
        <v>214</v>
      </c>
      <c r="C1500" s="229" t="s">
        <v>219</v>
      </c>
      <c r="D1500" s="229" t="s">
        <v>25</v>
      </c>
      <c r="E1500" s="229" t="s">
        <v>76</v>
      </c>
      <c r="F1500" s="229" t="s">
        <v>75</v>
      </c>
      <c r="G1500">
        <v>6</v>
      </c>
    </row>
    <row r="1501" spans="1:7" x14ac:dyDescent="0.2">
      <c r="A1501" t="s">
        <v>265</v>
      </c>
      <c r="B1501" s="229" t="s">
        <v>214</v>
      </c>
      <c r="C1501" s="229" t="s">
        <v>219</v>
      </c>
      <c r="D1501" s="229" t="s">
        <v>25</v>
      </c>
      <c r="E1501" s="229" t="s">
        <v>76</v>
      </c>
      <c r="F1501" s="229" t="s">
        <v>76</v>
      </c>
      <c r="G1501">
        <v>8</v>
      </c>
    </row>
    <row r="1502" spans="1:7" x14ac:dyDescent="0.2">
      <c r="A1502" t="s">
        <v>266</v>
      </c>
      <c r="B1502" s="229" t="s">
        <v>214</v>
      </c>
      <c r="C1502" s="229" t="s">
        <v>220</v>
      </c>
      <c r="D1502" s="229" t="s">
        <v>24</v>
      </c>
      <c r="E1502" s="229" t="s">
        <v>26</v>
      </c>
      <c r="F1502" s="229"/>
      <c r="G1502">
        <v>1</v>
      </c>
    </row>
    <row r="1503" spans="1:7" x14ac:dyDescent="0.2">
      <c r="A1503" t="s">
        <v>267</v>
      </c>
      <c r="B1503" s="229" t="s">
        <v>214</v>
      </c>
      <c r="C1503" s="229" t="s">
        <v>220</v>
      </c>
      <c r="D1503" s="229" t="s">
        <v>24</v>
      </c>
      <c r="E1503" s="229" t="s">
        <v>75</v>
      </c>
      <c r="F1503" s="229"/>
      <c r="G1503">
        <v>3</v>
      </c>
    </row>
    <row r="1504" spans="1:7" x14ac:dyDescent="0.2">
      <c r="A1504" t="s">
        <v>268</v>
      </c>
      <c r="B1504" s="229" t="s">
        <v>214</v>
      </c>
      <c r="C1504" s="229" t="s">
        <v>220</v>
      </c>
      <c r="D1504" s="229" t="s">
        <v>24</v>
      </c>
      <c r="E1504" s="229" t="s">
        <v>76</v>
      </c>
      <c r="F1504" s="229"/>
      <c r="G1504">
        <v>5</v>
      </c>
    </row>
    <row r="1505" spans="1:7" x14ac:dyDescent="0.2">
      <c r="A1505" t="s">
        <v>269</v>
      </c>
      <c r="B1505" s="229" t="s">
        <v>214</v>
      </c>
      <c r="C1505" s="229" t="s">
        <v>220</v>
      </c>
      <c r="D1505" s="229" t="s">
        <v>25</v>
      </c>
      <c r="E1505" s="229" t="s">
        <v>26</v>
      </c>
      <c r="F1505" s="229" t="s">
        <v>26</v>
      </c>
      <c r="G1505">
        <v>1</v>
      </c>
    </row>
    <row r="1506" spans="1:7" x14ac:dyDescent="0.2">
      <c r="A1506" t="s">
        <v>270</v>
      </c>
      <c r="B1506" s="229" t="s">
        <v>214</v>
      </c>
      <c r="C1506" s="229" t="s">
        <v>220</v>
      </c>
      <c r="D1506" s="229" t="s">
        <v>25</v>
      </c>
      <c r="E1506" s="229" t="s">
        <v>26</v>
      </c>
      <c r="F1506" s="229" t="s">
        <v>75</v>
      </c>
      <c r="G1506">
        <v>3</v>
      </c>
    </row>
    <row r="1507" spans="1:7" x14ac:dyDescent="0.2">
      <c r="A1507" t="s">
        <v>271</v>
      </c>
      <c r="B1507" s="229" t="s">
        <v>214</v>
      </c>
      <c r="C1507" s="229" t="s">
        <v>220</v>
      </c>
      <c r="D1507" s="229" t="s">
        <v>25</v>
      </c>
      <c r="E1507" s="229" t="s">
        <v>26</v>
      </c>
      <c r="F1507" s="229" t="s">
        <v>76</v>
      </c>
      <c r="G1507">
        <v>5</v>
      </c>
    </row>
    <row r="1508" spans="1:7" x14ac:dyDescent="0.2">
      <c r="A1508" t="s">
        <v>272</v>
      </c>
      <c r="B1508" s="229" t="s">
        <v>214</v>
      </c>
      <c r="C1508" s="229" t="s">
        <v>220</v>
      </c>
      <c r="D1508" s="229" t="s">
        <v>25</v>
      </c>
      <c r="E1508" s="229" t="s">
        <v>75</v>
      </c>
      <c r="F1508" s="229" t="s">
        <v>26</v>
      </c>
      <c r="G1508">
        <v>3</v>
      </c>
    </row>
    <row r="1509" spans="1:7" x14ac:dyDescent="0.2">
      <c r="A1509" t="s">
        <v>273</v>
      </c>
      <c r="B1509" s="229" t="s">
        <v>214</v>
      </c>
      <c r="C1509" s="229" t="s">
        <v>220</v>
      </c>
      <c r="D1509" s="229" t="s">
        <v>25</v>
      </c>
      <c r="E1509" s="229" t="s">
        <v>75</v>
      </c>
      <c r="F1509" s="229" t="s">
        <v>75</v>
      </c>
      <c r="G1509">
        <v>6</v>
      </c>
    </row>
    <row r="1510" spans="1:7" x14ac:dyDescent="0.2">
      <c r="A1510" t="s">
        <v>274</v>
      </c>
      <c r="B1510" s="229" t="s">
        <v>214</v>
      </c>
      <c r="C1510" s="229" t="s">
        <v>220</v>
      </c>
      <c r="D1510" s="229" t="s">
        <v>25</v>
      </c>
      <c r="E1510" s="229" t="s">
        <v>75</v>
      </c>
      <c r="F1510" s="229" t="s">
        <v>76</v>
      </c>
      <c r="G1510">
        <v>8</v>
      </c>
    </row>
    <row r="1511" spans="1:7" x14ac:dyDescent="0.2">
      <c r="A1511" t="s">
        <v>275</v>
      </c>
      <c r="B1511" s="229" t="s">
        <v>214</v>
      </c>
      <c r="C1511" s="229" t="s">
        <v>220</v>
      </c>
      <c r="D1511" s="229" t="s">
        <v>25</v>
      </c>
      <c r="E1511" s="229" t="s">
        <v>76</v>
      </c>
      <c r="F1511" s="229" t="s">
        <v>26</v>
      </c>
      <c r="G1511">
        <v>5</v>
      </c>
    </row>
    <row r="1512" spans="1:7" x14ac:dyDescent="0.2">
      <c r="A1512" t="s">
        <v>276</v>
      </c>
      <c r="B1512" s="229" t="s">
        <v>214</v>
      </c>
      <c r="C1512" s="229" t="s">
        <v>220</v>
      </c>
      <c r="D1512" s="229" t="s">
        <v>25</v>
      </c>
      <c r="E1512" s="229" t="s">
        <v>76</v>
      </c>
      <c r="F1512" s="229" t="s">
        <v>75</v>
      </c>
      <c r="G1512">
        <v>8</v>
      </c>
    </row>
    <row r="1513" spans="1:7" x14ac:dyDescent="0.2">
      <c r="A1513" t="s">
        <v>277</v>
      </c>
      <c r="B1513" s="229" t="s">
        <v>214</v>
      </c>
      <c r="C1513" s="229" t="s">
        <v>220</v>
      </c>
      <c r="D1513" s="229" t="s">
        <v>25</v>
      </c>
      <c r="E1513" s="229" t="s">
        <v>76</v>
      </c>
      <c r="F1513" s="229" t="s">
        <v>76</v>
      </c>
      <c r="G1513">
        <v>10</v>
      </c>
    </row>
    <row r="1514" spans="1:7" x14ac:dyDescent="0.2">
      <c r="A1514" t="s">
        <v>278</v>
      </c>
      <c r="B1514" s="229" t="s">
        <v>214</v>
      </c>
      <c r="C1514" s="229" t="s">
        <v>203</v>
      </c>
      <c r="D1514" s="229" t="s">
        <v>24</v>
      </c>
      <c r="E1514" s="229" t="s">
        <v>26</v>
      </c>
      <c r="F1514" s="229"/>
      <c r="G1514">
        <v>1</v>
      </c>
    </row>
    <row r="1515" spans="1:7" x14ac:dyDescent="0.2">
      <c r="A1515" t="s">
        <v>279</v>
      </c>
      <c r="B1515" s="229" t="s">
        <v>214</v>
      </c>
      <c r="C1515" s="229" t="s">
        <v>203</v>
      </c>
      <c r="D1515" s="229" t="s">
        <v>24</v>
      </c>
      <c r="E1515" s="229" t="s">
        <v>75</v>
      </c>
      <c r="F1515" s="229"/>
      <c r="G1515">
        <v>3</v>
      </c>
    </row>
    <row r="1516" spans="1:7" x14ac:dyDescent="0.2">
      <c r="A1516" t="s">
        <v>280</v>
      </c>
      <c r="B1516" s="229" t="s">
        <v>214</v>
      </c>
      <c r="C1516" s="229" t="s">
        <v>203</v>
      </c>
      <c r="D1516" s="229" t="s">
        <v>24</v>
      </c>
      <c r="E1516" s="229" t="s">
        <v>76</v>
      </c>
      <c r="F1516" s="229"/>
      <c r="G1516">
        <v>5</v>
      </c>
    </row>
    <row r="1517" spans="1:7" x14ac:dyDescent="0.2">
      <c r="A1517" t="s">
        <v>281</v>
      </c>
      <c r="B1517" s="229" t="s">
        <v>214</v>
      </c>
      <c r="C1517" s="229" t="s">
        <v>203</v>
      </c>
      <c r="D1517" s="229" t="s">
        <v>25</v>
      </c>
      <c r="E1517" s="229" t="s">
        <v>26</v>
      </c>
      <c r="F1517" s="229" t="s">
        <v>26</v>
      </c>
      <c r="G1517">
        <v>1</v>
      </c>
    </row>
    <row r="1518" spans="1:7" x14ac:dyDescent="0.2">
      <c r="A1518" t="s">
        <v>282</v>
      </c>
      <c r="B1518" s="229" t="s">
        <v>214</v>
      </c>
      <c r="C1518" s="229" t="s">
        <v>203</v>
      </c>
      <c r="D1518" s="229" t="s">
        <v>25</v>
      </c>
      <c r="E1518" s="229" t="s">
        <v>26</v>
      </c>
      <c r="F1518" s="229" t="s">
        <v>75</v>
      </c>
      <c r="G1518">
        <v>3</v>
      </c>
    </row>
    <row r="1519" spans="1:7" x14ac:dyDescent="0.2">
      <c r="A1519" t="s">
        <v>283</v>
      </c>
      <c r="B1519" s="229" t="s">
        <v>214</v>
      </c>
      <c r="C1519" s="229" t="s">
        <v>203</v>
      </c>
      <c r="D1519" s="229" t="s">
        <v>25</v>
      </c>
      <c r="E1519" s="229" t="s">
        <v>26</v>
      </c>
      <c r="F1519" s="229" t="s">
        <v>76</v>
      </c>
      <c r="G1519">
        <v>5</v>
      </c>
    </row>
    <row r="1520" spans="1:7" x14ac:dyDescent="0.2">
      <c r="A1520" t="s">
        <v>284</v>
      </c>
      <c r="B1520" s="229" t="s">
        <v>214</v>
      </c>
      <c r="C1520" s="229" t="s">
        <v>203</v>
      </c>
      <c r="D1520" s="229" t="s">
        <v>25</v>
      </c>
      <c r="E1520" s="229" t="s">
        <v>75</v>
      </c>
      <c r="F1520" s="229" t="s">
        <v>26</v>
      </c>
      <c r="G1520">
        <v>3</v>
      </c>
    </row>
    <row r="1521" spans="1:7" x14ac:dyDescent="0.2">
      <c r="A1521" t="s">
        <v>285</v>
      </c>
      <c r="B1521" s="229" t="s">
        <v>214</v>
      </c>
      <c r="C1521" s="229" t="s">
        <v>203</v>
      </c>
      <c r="D1521" s="229" t="s">
        <v>25</v>
      </c>
      <c r="E1521" s="229" t="s">
        <v>75</v>
      </c>
      <c r="F1521" s="229" t="s">
        <v>75</v>
      </c>
      <c r="G1521">
        <v>6</v>
      </c>
    </row>
    <row r="1522" spans="1:7" x14ac:dyDescent="0.2">
      <c r="A1522" t="s">
        <v>286</v>
      </c>
      <c r="B1522" s="229" t="s">
        <v>214</v>
      </c>
      <c r="C1522" s="229" t="s">
        <v>203</v>
      </c>
      <c r="D1522" s="229" t="s">
        <v>25</v>
      </c>
      <c r="E1522" s="229" t="s">
        <v>75</v>
      </c>
      <c r="F1522" s="229" t="s">
        <v>76</v>
      </c>
      <c r="G1522">
        <v>8</v>
      </c>
    </row>
    <row r="1523" spans="1:7" x14ac:dyDescent="0.2">
      <c r="A1523" t="s">
        <v>287</v>
      </c>
      <c r="B1523" s="229" t="s">
        <v>214</v>
      </c>
      <c r="C1523" s="229" t="s">
        <v>203</v>
      </c>
      <c r="D1523" s="229" t="s">
        <v>25</v>
      </c>
      <c r="E1523" s="229" t="s">
        <v>76</v>
      </c>
      <c r="F1523" s="229" t="s">
        <v>26</v>
      </c>
      <c r="G1523">
        <v>5</v>
      </c>
    </row>
    <row r="1524" spans="1:7" x14ac:dyDescent="0.2">
      <c r="A1524" t="s">
        <v>288</v>
      </c>
      <c r="B1524" s="229" t="s">
        <v>214</v>
      </c>
      <c r="C1524" s="229" t="s">
        <v>203</v>
      </c>
      <c r="D1524" s="229" t="s">
        <v>25</v>
      </c>
      <c r="E1524" s="229" t="s">
        <v>76</v>
      </c>
      <c r="F1524" s="229" t="s">
        <v>75</v>
      </c>
      <c r="G1524">
        <v>8</v>
      </c>
    </row>
    <row r="1525" spans="1:7" x14ac:dyDescent="0.2">
      <c r="A1525" t="s">
        <v>289</v>
      </c>
      <c r="B1525" s="229" t="s">
        <v>214</v>
      </c>
      <c r="C1525" s="229" t="s">
        <v>203</v>
      </c>
      <c r="D1525" s="229" t="s">
        <v>25</v>
      </c>
      <c r="E1525" s="229" t="s">
        <v>76</v>
      </c>
      <c r="F1525" s="229" t="s">
        <v>76</v>
      </c>
      <c r="G1525">
        <v>10</v>
      </c>
    </row>
    <row r="1526" spans="1:7" x14ac:dyDescent="0.2">
      <c r="A1526" t="s">
        <v>290</v>
      </c>
      <c r="B1526" s="229" t="s">
        <v>214</v>
      </c>
      <c r="C1526" s="229" t="s">
        <v>204</v>
      </c>
      <c r="D1526" s="229" t="s">
        <v>24</v>
      </c>
      <c r="E1526" s="229" t="s">
        <v>26</v>
      </c>
      <c r="F1526" s="229"/>
      <c r="G1526">
        <v>3</v>
      </c>
    </row>
    <row r="1527" spans="1:7" x14ac:dyDescent="0.2">
      <c r="A1527" t="s">
        <v>291</v>
      </c>
      <c r="B1527" s="229" t="s">
        <v>214</v>
      </c>
      <c r="C1527" s="229" t="s">
        <v>204</v>
      </c>
      <c r="D1527" s="229" t="s">
        <v>24</v>
      </c>
      <c r="E1527" s="229" t="s">
        <v>75</v>
      </c>
      <c r="F1527" s="229"/>
      <c r="G1527">
        <v>5</v>
      </c>
    </row>
    <row r="1528" spans="1:7" x14ac:dyDescent="0.2">
      <c r="A1528" t="s">
        <v>292</v>
      </c>
      <c r="B1528" s="229" t="s">
        <v>214</v>
      </c>
      <c r="C1528" s="229" t="s">
        <v>204</v>
      </c>
      <c r="D1528" s="229" t="s">
        <v>24</v>
      </c>
      <c r="E1528" s="229" t="s">
        <v>76</v>
      </c>
      <c r="F1528" s="229"/>
      <c r="G1528">
        <v>8</v>
      </c>
    </row>
    <row r="1529" spans="1:7" x14ac:dyDescent="0.2">
      <c r="A1529" t="s">
        <v>293</v>
      </c>
      <c r="B1529" s="229" t="s">
        <v>214</v>
      </c>
      <c r="C1529" s="229" t="s">
        <v>204</v>
      </c>
      <c r="D1529" s="229" t="s">
        <v>25</v>
      </c>
      <c r="E1529" s="229" t="s">
        <v>26</v>
      </c>
      <c r="F1529" s="229" t="s">
        <v>26</v>
      </c>
      <c r="G1529">
        <v>2</v>
      </c>
    </row>
    <row r="1530" spans="1:7" x14ac:dyDescent="0.2">
      <c r="A1530" t="s">
        <v>294</v>
      </c>
      <c r="B1530" s="229" t="s">
        <v>214</v>
      </c>
      <c r="C1530" s="229" t="s">
        <v>204</v>
      </c>
      <c r="D1530" s="229" t="s">
        <v>25</v>
      </c>
      <c r="E1530" s="229" t="s">
        <v>26</v>
      </c>
      <c r="F1530" s="229" t="s">
        <v>75</v>
      </c>
      <c r="G1530">
        <v>3</v>
      </c>
    </row>
    <row r="1531" spans="1:7" x14ac:dyDescent="0.2">
      <c r="A1531" t="s">
        <v>295</v>
      </c>
      <c r="B1531" s="229" t="s">
        <v>214</v>
      </c>
      <c r="C1531" s="229" t="s">
        <v>204</v>
      </c>
      <c r="D1531" s="229" t="s">
        <v>25</v>
      </c>
      <c r="E1531" s="229" t="s">
        <v>26</v>
      </c>
      <c r="F1531" s="229" t="s">
        <v>76</v>
      </c>
      <c r="G1531">
        <v>4</v>
      </c>
    </row>
    <row r="1532" spans="1:7" x14ac:dyDescent="0.2">
      <c r="A1532" t="s">
        <v>296</v>
      </c>
      <c r="B1532" s="229" t="s">
        <v>214</v>
      </c>
      <c r="C1532" s="229" t="s">
        <v>204</v>
      </c>
      <c r="D1532" s="229" t="s">
        <v>25</v>
      </c>
      <c r="E1532" s="229" t="s">
        <v>75</v>
      </c>
      <c r="F1532" s="229" t="s">
        <v>26</v>
      </c>
      <c r="G1532">
        <v>2</v>
      </c>
    </row>
    <row r="1533" spans="1:7" x14ac:dyDescent="0.2">
      <c r="A1533" t="s">
        <v>297</v>
      </c>
      <c r="B1533" s="229" t="s">
        <v>214</v>
      </c>
      <c r="C1533" s="229" t="s">
        <v>204</v>
      </c>
      <c r="D1533" s="229" t="s">
        <v>25</v>
      </c>
      <c r="E1533" s="229" t="s">
        <v>75</v>
      </c>
      <c r="F1533" s="229" t="s">
        <v>75</v>
      </c>
      <c r="G1533">
        <v>5</v>
      </c>
    </row>
    <row r="1534" spans="1:7" x14ac:dyDescent="0.2">
      <c r="A1534" t="s">
        <v>298</v>
      </c>
      <c r="B1534" s="229" t="s">
        <v>214</v>
      </c>
      <c r="C1534" s="229" t="s">
        <v>204</v>
      </c>
      <c r="D1534" s="229" t="s">
        <v>25</v>
      </c>
      <c r="E1534" s="229" t="s">
        <v>75</v>
      </c>
      <c r="F1534" s="229" t="s">
        <v>76</v>
      </c>
      <c r="G1534">
        <v>8</v>
      </c>
    </row>
    <row r="1535" spans="1:7" x14ac:dyDescent="0.2">
      <c r="A1535" t="s">
        <v>299</v>
      </c>
      <c r="B1535" s="229" t="s">
        <v>214</v>
      </c>
      <c r="C1535" s="229" t="s">
        <v>204</v>
      </c>
      <c r="D1535" s="229" t="s">
        <v>25</v>
      </c>
      <c r="E1535" s="229" t="s">
        <v>76</v>
      </c>
      <c r="F1535" s="229" t="s">
        <v>26</v>
      </c>
      <c r="G1535">
        <v>5</v>
      </c>
    </row>
    <row r="1536" spans="1:7" x14ac:dyDescent="0.2">
      <c r="A1536" t="s">
        <v>300</v>
      </c>
      <c r="B1536" s="229" t="s">
        <v>214</v>
      </c>
      <c r="C1536" s="229" t="s">
        <v>204</v>
      </c>
      <c r="D1536" s="229" t="s">
        <v>25</v>
      </c>
      <c r="E1536" s="229" t="s">
        <v>76</v>
      </c>
      <c r="F1536" s="229" t="s">
        <v>75</v>
      </c>
      <c r="G1536">
        <v>7</v>
      </c>
    </row>
    <row r="1537" spans="1:7" x14ac:dyDescent="0.2">
      <c r="A1537" t="s">
        <v>301</v>
      </c>
      <c r="B1537" s="229" t="s">
        <v>214</v>
      </c>
      <c r="C1537" s="229" t="s">
        <v>204</v>
      </c>
      <c r="D1537" s="229" t="s">
        <v>25</v>
      </c>
      <c r="E1537" s="229" t="s">
        <v>76</v>
      </c>
      <c r="F1537" s="229" t="s">
        <v>76</v>
      </c>
      <c r="G1537">
        <v>9</v>
      </c>
    </row>
    <row r="1538" spans="1:7" x14ac:dyDescent="0.2">
      <c r="A1538" t="s">
        <v>302</v>
      </c>
      <c r="B1538" s="229" t="s">
        <v>214</v>
      </c>
      <c r="C1538" s="229" t="s">
        <v>205</v>
      </c>
      <c r="D1538" s="229" t="s">
        <v>24</v>
      </c>
      <c r="E1538" s="229" t="s">
        <v>26</v>
      </c>
      <c r="F1538" s="229"/>
      <c r="G1538">
        <v>1</v>
      </c>
    </row>
    <row r="1539" spans="1:7" x14ac:dyDescent="0.2">
      <c r="A1539" t="s">
        <v>303</v>
      </c>
      <c r="B1539" s="229" t="s">
        <v>214</v>
      </c>
      <c r="C1539" s="229" t="s">
        <v>205</v>
      </c>
      <c r="D1539" s="229" t="s">
        <v>24</v>
      </c>
      <c r="E1539" s="229" t="s">
        <v>75</v>
      </c>
      <c r="F1539" s="229"/>
      <c r="G1539">
        <v>3</v>
      </c>
    </row>
    <row r="1540" spans="1:7" x14ac:dyDescent="0.2">
      <c r="A1540" t="s">
        <v>304</v>
      </c>
      <c r="B1540" s="229" t="s">
        <v>214</v>
      </c>
      <c r="C1540" s="229" t="s">
        <v>205</v>
      </c>
      <c r="D1540" s="229" t="s">
        <v>24</v>
      </c>
      <c r="E1540" s="229" t="s">
        <v>76</v>
      </c>
      <c r="F1540" s="229"/>
      <c r="G1540">
        <v>5</v>
      </c>
    </row>
    <row r="1541" spans="1:7" x14ac:dyDescent="0.2">
      <c r="A1541" t="s">
        <v>305</v>
      </c>
      <c r="B1541" s="229" t="s">
        <v>214</v>
      </c>
      <c r="C1541" s="229" t="s">
        <v>205</v>
      </c>
      <c r="D1541" s="229" t="s">
        <v>25</v>
      </c>
      <c r="E1541" s="229" t="s">
        <v>26</v>
      </c>
      <c r="F1541" s="229" t="s">
        <v>26</v>
      </c>
      <c r="G1541">
        <v>1</v>
      </c>
    </row>
    <row r="1542" spans="1:7" x14ac:dyDescent="0.2">
      <c r="A1542" t="s">
        <v>306</v>
      </c>
      <c r="B1542" s="229" t="s">
        <v>214</v>
      </c>
      <c r="C1542" s="229" t="s">
        <v>205</v>
      </c>
      <c r="D1542" s="229" t="s">
        <v>25</v>
      </c>
      <c r="E1542" s="229" t="s">
        <v>26</v>
      </c>
      <c r="F1542" s="229" t="s">
        <v>75</v>
      </c>
      <c r="G1542">
        <v>2</v>
      </c>
    </row>
    <row r="1543" spans="1:7" x14ac:dyDescent="0.2">
      <c r="A1543" t="s">
        <v>307</v>
      </c>
      <c r="B1543" s="229" t="s">
        <v>214</v>
      </c>
      <c r="C1543" s="229" t="s">
        <v>205</v>
      </c>
      <c r="D1543" s="229" t="s">
        <v>25</v>
      </c>
      <c r="E1543" s="229" t="s">
        <v>26</v>
      </c>
      <c r="F1543" s="229" t="s">
        <v>76</v>
      </c>
      <c r="G1543">
        <v>4</v>
      </c>
    </row>
    <row r="1544" spans="1:7" x14ac:dyDescent="0.2">
      <c r="A1544" t="s">
        <v>308</v>
      </c>
      <c r="B1544" s="229" t="s">
        <v>214</v>
      </c>
      <c r="C1544" s="229" t="s">
        <v>205</v>
      </c>
      <c r="D1544" s="229" t="s">
        <v>25</v>
      </c>
      <c r="E1544" s="229" t="s">
        <v>75</v>
      </c>
      <c r="F1544" s="229" t="s">
        <v>26</v>
      </c>
      <c r="G1544">
        <v>3</v>
      </c>
    </row>
    <row r="1545" spans="1:7" x14ac:dyDescent="0.2">
      <c r="A1545" t="s">
        <v>309</v>
      </c>
      <c r="B1545" s="229" t="s">
        <v>214</v>
      </c>
      <c r="C1545" s="229" t="s">
        <v>205</v>
      </c>
      <c r="D1545" s="229" t="s">
        <v>25</v>
      </c>
      <c r="E1545" s="229" t="s">
        <v>75</v>
      </c>
      <c r="F1545" s="229" t="s">
        <v>75</v>
      </c>
      <c r="G1545">
        <v>5</v>
      </c>
    </row>
    <row r="1546" spans="1:7" x14ac:dyDescent="0.2">
      <c r="A1546" t="s">
        <v>310</v>
      </c>
      <c r="B1546" s="229" t="s">
        <v>214</v>
      </c>
      <c r="C1546" s="229" t="s">
        <v>205</v>
      </c>
      <c r="D1546" s="229" t="s">
        <v>25</v>
      </c>
      <c r="E1546" s="229" t="s">
        <v>75</v>
      </c>
      <c r="F1546" s="229" t="s">
        <v>76</v>
      </c>
      <c r="G1546">
        <v>6</v>
      </c>
    </row>
    <row r="1547" spans="1:7" x14ac:dyDescent="0.2">
      <c r="A1547" t="s">
        <v>311</v>
      </c>
      <c r="B1547" s="229" t="s">
        <v>214</v>
      </c>
      <c r="C1547" s="229" t="s">
        <v>205</v>
      </c>
      <c r="D1547" s="229" t="s">
        <v>25</v>
      </c>
      <c r="E1547" s="229" t="s">
        <v>76</v>
      </c>
      <c r="F1547" s="229" t="s">
        <v>26</v>
      </c>
      <c r="G1547">
        <v>4</v>
      </c>
    </row>
    <row r="1548" spans="1:7" x14ac:dyDescent="0.2">
      <c r="A1548" t="s">
        <v>312</v>
      </c>
      <c r="B1548" s="229" t="s">
        <v>214</v>
      </c>
      <c r="C1548" s="229" t="s">
        <v>205</v>
      </c>
      <c r="D1548" s="229" t="s">
        <v>25</v>
      </c>
      <c r="E1548" s="229" t="s">
        <v>76</v>
      </c>
      <c r="F1548" s="229" t="s">
        <v>75</v>
      </c>
      <c r="G1548">
        <v>6</v>
      </c>
    </row>
    <row r="1549" spans="1:7" x14ac:dyDescent="0.2">
      <c r="A1549" t="s">
        <v>313</v>
      </c>
      <c r="B1549" s="229" t="s">
        <v>214</v>
      </c>
      <c r="C1549" s="229" t="s">
        <v>205</v>
      </c>
      <c r="D1549" s="229" t="s">
        <v>25</v>
      </c>
      <c r="E1549" s="229" t="s">
        <v>76</v>
      </c>
      <c r="F1549" s="229" t="s">
        <v>76</v>
      </c>
      <c r="G1549">
        <v>8</v>
      </c>
    </row>
    <row r="1550" spans="1:7" x14ac:dyDescent="0.2">
      <c r="A1550" t="s">
        <v>314</v>
      </c>
      <c r="B1550" s="229" t="s">
        <v>214</v>
      </c>
      <c r="C1550" s="229" t="s">
        <v>206</v>
      </c>
      <c r="D1550" s="229" t="s">
        <v>24</v>
      </c>
      <c r="E1550" s="229" t="s">
        <v>26</v>
      </c>
      <c r="F1550" s="229"/>
      <c r="G1550">
        <v>8</v>
      </c>
    </row>
    <row r="1551" spans="1:7" x14ac:dyDescent="0.2">
      <c r="A1551" t="s">
        <v>315</v>
      </c>
      <c r="B1551" s="229" t="s">
        <v>214</v>
      </c>
      <c r="C1551" s="229" t="s">
        <v>206</v>
      </c>
      <c r="D1551" s="229" t="s">
        <v>24</v>
      </c>
      <c r="E1551" s="229" t="s">
        <v>75</v>
      </c>
      <c r="F1551" s="229"/>
      <c r="G1551">
        <v>16</v>
      </c>
    </row>
    <row r="1552" spans="1:7" x14ac:dyDescent="0.2">
      <c r="A1552" t="s">
        <v>316</v>
      </c>
      <c r="B1552" s="229" t="s">
        <v>214</v>
      </c>
      <c r="C1552" s="229" t="s">
        <v>206</v>
      </c>
      <c r="D1552" s="229" t="s">
        <v>24</v>
      </c>
      <c r="E1552" s="229" t="s">
        <v>76</v>
      </c>
      <c r="F1552" s="229"/>
      <c r="G1552">
        <v>24</v>
      </c>
    </row>
    <row r="1553" spans="1:7" x14ac:dyDescent="0.2">
      <c r="A1553" t="s">
        <v>317</v>
      </c>
      <c r="B1553" s="229" t="s">
        <v>214</v>
      </c>
      <c r="C1553" s="229" t="s">
        <v>206</v>
      </c>
      <c r="D1553" s="229" t="s">
        <v>25</v>
      </c>
      <c r="E1553" s="229" t="s">
        <v>26</v>
      </c>
      <c r="F1553" s="229" t="s">
        <v>26</v>
      </c>
      <c r="G1553">
        <v>3</v>
      </c>
    </row>
    <row r="1554" spans="1:7" x14ac:dyDescent="0.2">
      <c r="A1554" t="s">
        <v>318</v>
      </c>
      <c r="B1554" s="229" t="s">
        <v>214</v>
      </c>
      <c r="C1554" s="229" t="s">
        <v>206</v>
      </c>
      <c r="D1554" s="229" t="s">
        <v>25</v>
      </c>
      <c r="E1554" s="229" t="s">
        <v>26</v>
      </c>
      <c r="F1554" s="229" t="s">
        <v>75</v>
      </c>
      <c r="G1554">
        <v>5</v>
      </c>
    </row>
    <row r="1555" spans="1:7" x14ac:dyDescent="0.2">
      <c r="A1555" t="s">
        <v>319</v>
      </c>
      <c r="B1555" s="229" t="s">
        <v>214</v>
      </c>
      <c r="C1555" s="229" t="s">
        <v>206</v>
      </c>
      <c r="D1555" s="229" t="s">
        <v>25</v>
      </c>
      <c r="E1555" s="229" t="s">
        <v>26</v>
      </c>
      <c r="F1555" s="229" t="s">
        <v>76</v>
      </c>
      <c r="G1555">
        <v>7</v>
      </c>
    </row>
    <row r="1556" spans="1:7" x14ac:dyDescent="0.2">
      <c r="A1556" t="s">
        <v>320</v>
      </c>
      <c r="B1556" s="229" t="s">
        <v>214</v>
      </c>
      <c r="C1556" s="229" t="s">
        <v>206</v>
      </c>
      <c r="D1556" s="229" t="s">
        <v>25</v>
      </c>
      <c r="E1556" s="229" t="s">
        <v>75</v>
      </c>
      <c r="F1556" s="229" t="s">
        <v>26</v>
      </c>
      <c r="G1556" s="229">
        <v>8</v>
      </c>
    </row>
    <row r="1557" spans="1:7" x14ac:dyDescent="0.2">
      <c r="A1557" t="s">
        <v>321</v>
      </c>
      <c r="B1557" s="229" t="s">
        <v>214</v>
      </c>
      <c r="C1557" s="229" t="s">
        <v>206</v>
      </c>
      <c r="D1557" s="229" t="s">
        <v>25</v>
      </c>
      <c r="E1557" s="229" t="s">
        <v>75</v>
      </c>
      <c r="F1557" s="229" t="s">
        <v>75</v>
      </c>
      <c r="G1557">
        <v>10</v>
      </c>
    </row>
    <row r="1558" spans="1:7" x14ac:dyDescent="0.2">
      <c r="A1558" t="s">
        <v>322</v>
      </c>
      <c r="B1558" s="229" t="s">
        <v>214</v>
      </c>
      <c r="C1558" s="229" t="s">
        <v>206</v>
      </c>
      <c r="D1558" s="229" t="s">
        <v>25</v>
      </c>
      <c r="E1558" s="229" t="s">
        <v>75</v>
      </c>
      <c r="F1558" s="229" t="s">
        <v>76</v>
      </c>
      <c r="G1558">
        <v>14</v>
      </c>
    </row>
    <row r="1559" spans="1:7" x14ac:dyDescent="0.2">
      <c r="A1559" t="s">
        <v>323</v>
      </c>
      <c r="B1559" s="229" t="s">
        <v>214</v>
      </c>
      <c r="C1559" s="229" t="s">
        <v>206</v>
      </c>
      <c r="D1559" s="229" t="s">
        <v>25</v>
      </c>
      <c r="E1559" s="229" t="s">
        <v>76</v>
      </c>
      <c r="F1559" s="229" t="s">
        <v>26</v>
      </c>
      <c r="G1559">
        <v>6</v>
      </c>
    </row>
    <row r="1560" spans="1:7" x14ac:dyDescent="0.2">
      <c r="A1560" t="s">
        <v>324</v>
      </c>
      <c r="B1560" s="229" t="s">
        <v>214</v>
      </c>
      <c r="C1560" s="229" t="s">
        <v>206</v>
      </c>
      <c r="D1560" s="229" t="s">
        <v>25</v>
      </c>
      <c r="E1560" s="229" t="s">
        <v>76</v>
      </c>
      <c r="F1560" s="229" t="s">
        <v>75</v>
      </c>
      <c r="G1560">
        <v>10</v>
      </c>
    </row>
    <row r="1561" spans="1:7" x14ac:dyDescent="0.2">
      <c r="A1561" t="s">
        <v>325</v>
      </c>
      <c r="B1561" s="229" t="s">
        <v>214</v>
      </c>
      <c r="C1561" s="229" t="s">
        <v>206</v>
      </c>
      <c r="D1561" s="229" t="s">
        <v>25</v>
      </c>
      <c r="E1561" s="229" t="s">
        <v>76</v>
      </c>
      <c r="F1561" s="229" t="s">
        <v>76</v>
      </c>
      <c r="G1561">
        <v>16</v>
      </c>
    </row>
    <row r="1562" spans="1:7" x14ac:dyDescent="0.2">
      <c r="A1562" t="s">
        <v>326</v>
      </c>
      <c r="B1562" s="229" t="s">
        <v>214</v>
      </c>
      <c r="C1562" s="229" t="s">
        <v>207</v>
      </c>
      <c r="D1562" s="229" t="s">
        <v>24</v>
      </c>
      <c r="E1562" s="229" t="s">
        <v>26</v>
      </c>
      <c r="F1562" s="229"/>
      <c r="G1562">
        <v>1</v>
      </c>
    </row>
    <row r="1563" spans="1:7" x14ac:dyDescent="0.2">
      <c r="A1563" t="s">
        <v>327</v>
      </c>
      <c r="B1563" s="229" t="s">
        <v>214</v>
      </c>
      <c r="C1563" s="229" t="s">
        <v>207</v>
      </c>
      <c r="D1563" s="229" t="s">
        <v>24</v>
      </c>
      <c r="E1563" s="229" t="s">
        <v>75</v>
      </c>
      <c r="F1563" s="229"/>
      <c r="G1563">
        <v>2</v>
      </c>
    </row>
    <row r="1564" spans="1:7" x14ac:dyDescent="0.2">
      <c r="A1564" t="s">
        <v>328</v>
      </c>
      <c r="B1564" s="229" t="s">
        <v>214</v>
      </c>
      <c r="C1564" s="229" t="s">
        <v>207</v>
      </c>
      <c r="D1564" s="229" t="s">
        <v>24</v>
      </c>
      <c r="E1564" s="229" t="s">
        <v>76</v>
      </c>
      <c r="F1564" s="229"/>
      <c r="G1564">
        <v>4</v>
      </c>
    </row>
    <row r="1565" spans="1:7" x14ac:dyDescent="0.2">
      <c r="A1565" t="s">
        <v>329</v>
      </c>
      <c r="B1565" s="229" t="s">
        <v>214</v>
      </c>
      <c r="C1565" s="229" t="s">
        <v>207</v>
      </c>
      <c r="D1565" s="229" t="s">
        <v>25</v>
      </c>
      <c r="E1565" s="229" t="s">
        <v>26</v>
      </c>
      <c r="F1565" s="229" t="s">
        <v>26</v>
      </c>
      <c r="G1565">
        <v>1</v>
      </c>
    </row>
    <row r="1566" spans="1:7" x14ac:dyDescent="0.2">
      <c r="A1566" t="s">
        <v>330</v>
      </c>
      <c r="B1566" s="229" t="s">
        <v>214</v>
      </c>
      <c r="C1566" s="229" t="s">
        <v>207</v>
      </c>
      <c r="D1566" s="229" t="s">
        <v>25</v>
      </c>
      <c r="E1566" s="229" t="s">
        <v>26</v>
      </c>
      <c r="F1566" s="229" t="s">
        <v>75</v>
      </c>
      <c r="G1566">
        <v>2</v>
      </c>
    </row>
    <row r="1567" spans="1:7" x14ac:dyDescent="0.2">
      <c r="A1567" t="s">
        <v>331</v>
      </c>
      <c r="B1567" s="229" t="s">
        <v>214</v>
      </c>
      <c r="C1567" s="229" t="s">
        <v>207</v>
      </c>
      <c r="D1567" s="229" t="s">
        <v>25</v>
      </c>
      <c r="E1567" s="229" t="s">
        <v>26</v>
      </c>
      <c r="F1567" s="229" t="s">
        <v>76</v>
      </c>
      <c r="G1567">
        <v>3</v>
      </c>
    </row>
    <row r="1568" spans="1:7" x14ac:dyDescent="0.2">
      <c r="A1568" t="s">
        <v>332</v>
      </c>
      <c r="B1568" s="229" t="s">
        <v>214</v>
      </c>
      <c r="C1568" s="229" t="s">
        <v>207</v>
      </c>
      <c r="D1568" s="229" t="s">
        <v>25</v>
      </c>
      <c r="E1568" s="229" t="s">
        <v>75</v>
      </c>
      <c r="F1568" s="229" t="s">
        <v>26</v>
      </c>
      <c r="G1568">
        <v>2</v>
      </c>
    </row>
    <row r="1569" spans="1:7" x14ac:dyDescent="0.2">
      <c r="A1569" t="s">
        <v>333</v>
      </c>
      <c r="B1569" s="229" t="s">
        <v>214</v>
      </c>
      <c r="C1569" s="229" t="s">
        <v>207</v>
      </c>
      <c r="D1569" s="229" t="s">
        <v>25</v>
      </c>
      <c r="E1569" s="229" t="s">
        <v>75</v>
      </c>
      <c r="F1569" s="229" t="s">
        <v>75</v>
      </c>
      <c r="G1569">
        <v>3</v>
      </c>
    </row>
    <row r="1570" spans="1:7" x14ac:dyDescent="0.2">
      <c r="A1570" t="s">
        <v>334</v>
      </c>
      <c r="B1570" s="229" t="s">
        <v>214</v>
      </c>
      <c r="C1570" s="229" t="s">
        <v>207</v>
      </c>
      <c r="D1570" s="229" t="s">
        <v>25</v>
      </c>
      <c r="E1570" s="229" t="s">
        <v>75</v>
      </c>
      <c r="F1570" s="229" t="s">
        <v>76</v>
      </c>
      <c r="G1570">
        <v>4</v>
      </c>
    </row>
    <row r="1571" spans="1:7" x14ac:dyDescent="0.2">
      <c r="A1571" t="s">
        <v>335</v>
      </c>
      <c r="B1571" s="229" t="s">
        <v>214</v>
      </c>
      <c r="C1571" s="229" t="s">
        <v>207</v>
      </c>
      <c r="D1571" s="229" t="s">
        <v>25</v>
      </c>
      <c r="E1571" s="229" t="s">
        <v>76</v>
      </c>
      <c r="F1571" s="229" t="s">
        <v>26</v>
      </c>
      <c r="G1571">
        <v>3</v>
      </c>
    </row>
    <row r="1572" spans="1:7" x14ac:dyDescent="0.2">
      <c r="A1572" t="s">
        <v>336</v>
      </c>
      <c r="B1572" s="229" t="s">
        <v>214</v>
      </c>
      <c r="C1572" s="229" t="s">
        <v>207</v>
      </c>
      <c r="D1572" s="229" t="s">
        <v>25</v>
      </c>
      <c r="E1572" s="229" t="s">
        <v>76</v>
      </c>
      <c r="F1572" s="229" t="s">
        <v>75</v>
      </c>
      <c r="G1572">
        <v>5</v>
      </c>
    </row>
    <row r="1573" spans="1:7" x14ac:dyDescent="0.2">
      <c r="A1573" t="s">
        <v>337</v>
      </c>
      <c r="B1573" s="229" t="s">
        <v>214</v>
      </c>
      <c r="C1573" s="229" t="s">
        <v>207</v>
      </c>
      <c r="D1573" s="229" t="s">
        <v>25</v>
      </c>
      <c r="E1573" s="229" t="s">
        <v>76</v>
      </c>
      <c r="F1573" s="229" t="s">
        <v>76</v>
      </c>
      <c r="G1573">
        <v>8</v>
      </c>
    </row>
    <row r="1574" spans="1:7" x14ac:dyDescent="0.2">
      <c r="A1574" t="s">
        <v>338</v>
      </c>
      <c r="B1574" s="229" t="s">
        <v>214</v>
      </c>
      <c r="C1574" s="229" t="s">
        <v>221</v>
      </c>
      <c r="D1574" s="229" t="s">
        <v>24</v>
      </c>
      <c r="E1574" s="229" t="s">
        <v>26</v>
      </c>
      <c r="F1574" s="229"/>
      <c r="G1574">
        <v>2</v>
      </c>
    </row>
    <row r="1575" spans="1:7" x14ac:dyDescent="0.2">
      <c r="A1575" t="s">
        <v>339</v>
      </c>
      <c r="B1575" s="229" t="s">
        <v>214</v>
      </c>
      <c r="C1575" s="229" t="s">
        <v>221</v>
      </c>
      <c r="D1575" s="229" t="s">
        <v>24</v>
      </c>
      <c r="E1575" s="229" t="s">
        <v>75</v>
      </c>
      <c r="F1575" s="229"/>
      <c r="G1575">
        <v>4</v>
      </c>
    </row>
    <row r="1576" spans="1:7" x14ac:dyDescent="0.2">
      <c r="A1576" t="s">
        <v>340</v>
      </c>
      <c r="B1576" s="229" t="s">
        <v>214</v>
      </c>
      <c r="C1576" s="229" t="s">
        <v>221</v>
      </c>
      <c r="D1576" s="229" t="s">
        <v>24</v>
      </c>
      <c r="E1576" s="229" t="s">
        <v>76</v>
      </c>
      <c r="F1576" s="229"/>
      <c r="G1576">
        <v>8</v>
      </c>
    </row>
    <row r="1577" spans="1:7" x14ac:dyDescent="0.2">
      <c r="A1577" t="s">
        <v>341</v>
      </c>
      <c r="B1577" s="229" t="s">
        <v>214</v>
      </c>
      <c r="C1577" s="229" t="s">
        <v>221</v>
      </c>
      <c r="D1577" s="229" t="s">
        <v>25</v>
      </c>
      <c r="E1577" s="229" t="s">
        <v>26</v>
      </c>
      <c r="F1577" s="229" t="s">
        <v>26</v>
      </c>
      <c r="G1577">
        <v>1</v>
      </c>
    </row>
    <row r="1578" spans="1:7" x14ac:dyDescent="0.2">
      <c r="A1578" t="s">
        <v>342</v>
      </c>
      <c r="B1578" s="229" t="s">
        <v>214</v>
      </c>
      <c r="C1578" s="229" t="s">
        <v>221</v>
      </c>
      <c r="D1578" s="229" t="s">
        <v>25</v>
      </c>
      <c r="E1578" s="229" t="s">
        <v>26</v>
      </c>
      <c r="F1578" s="229" t="s">
        <v>75</v>
      </c>
      <c r="G1578">
        <v>2</v>
      </c>
    </row>
    <row r="1579" spans="1:7" x14ac:dyDescent="0.2">
      <c r="A1579" t="s">
        <v>343</v>
      </c>
      <c r="B1579" s="229" t="s">
        <v>214</v>
      </c>
      <c r="C1579" s="229" t="s">
        <v>221</v>
      </c>
      <c r="D1579" s="229" t="s">
        <v>25</v>
      </c>
      <c r="E1579" s="229" t="s">
        <v>26</v>
      </c>
      <c r="F1579" s="229" t="s">
        <v>76</v>
      </c>
      <c r="G1579">
        <v>4</v>
      </c>
    </row>
    <row r="1580" spans="1:7" x14ac:dyDescent="0.2">
      <c r="A1580" t="s">
        <v>344</v>
      </c>
      <c r="B1580" s="229" t="s">
        <v>214</v>
      </c>
      <c r="C1580" s="229" t="s">
        <v>221</v>
      </c>
      <c r="D1580" s="229" t="s">
        <v>25</v>
      </c>
      <c r="E1580" s="229" t="s">
        <v>75</v>
      </c>
      <c r="F1580" s="229" t="s">
        <v>26</v>
      </c>
      <c r="G1580">
        <v>2</v>
      </c>
    </row>
    <row r="1581" spans="1:7" x14ac:dyDescent="0.2">
      <c r="A1581" t="s">
        <v>345</v>
      </c>
      <c r="B1581" s="229" t="s">
        <v>214</v>
      </c>
      <c r="C1581" s="229" t="s">
        <v>221</v>
      </c>
      <c r="D1581" s="229" t="s">
        <v>25</v>
      </c>
      <c r="E1581" s="229" t="s">
        <v>75</v>
      </c>
      <c r="F1581" s="229" t="s">
        <v>75</v>
      </c>
      <c r="G1581">
        <v>4</v>
      </c>
    </row>
    <row r="1582" spans="1:7" x14ac:dyDescent="0.2">
      <c r="A1582" t="s">
        <v>346</v>
      </c>
      <c r="B1582" s="229" t="s">
        <v>214</v>
      </c>
      <c r="C1582" s="229" t="s">
        <v>221</v>
      </c>
      <c r="D1582" s="229" t="s">
        <v>25</v>
      </c>
      <c r="E1582" s="229" t="s">
        <v>75</v>
      </c>
      <c r="F1582" s="229" t="s">
        <v>76</v>
      </c>
      <c r="G1582">
        <v>5</v>
      </c>
    </row>
    <row r="1583" spans="1:7" x14ac:dyDescent="0.2">
      <c r="A1583" t="s">
        <v>347</v>
      </c>
      <c r="B1583" s="229" t="s">
        <v>214</v>
      </c>
      <c r="C1583" s="229" t="s">
        <v>221</v>
      </c>
      <c r="D1583" s="229" t="s">
        <v>25</v>
      </c>
      <c r="E1583" s="229" t="s">
        <v>76</v>
      </c>
      <c r="F1583" s="229" t="s">
        <v>26</v>
      </c>
      <c r="G1583">
        <v>5</v>
      </c>
    </row>
    <row r="1584" spans="1:7" x14ac:dyDescent="0.2">
      <c r="A1584" t="s">
        <v>348</v>
      </c>
      <c r="B1584" s="229" t="s">
        <v>214</v>
      </c>
      <c r="C1584" s="229" t="s">
        <v>221</v>
      </c>
      <c r="D1584" s="229" t="s">
        <v>25</v>
      </c>
      <c r="E1584" s="229" t="s">
        <v>76</v>
      </c>
      <c r="F1584" s="229" t="s">
        <v>75</v>
      </c>
      <c r="G1584">
        <v>7</v>
      </c>
    </row>
    <row r="1585" spans="1:7" x14ac:dyDescent="0.2">
      <c r="A1585" t="s">
        <v>349</v>
      </c>
      <c r="B1585" s="229" t="s">
        <v>214</v>
      </c>
      <c r="C1585" s="229" t="s">
        <v>221</v>
      </c>
      <c r="D1585" s="229" t="s">
        <v>25</v>
      </c>
      <c r="E1585" s="229" t="s">
        <v>76</v>
      </c>
      <c r="F1585" s="229" t="s">
        <v>76</v>
      </c>
      <c r="G1585">
        <v>8</v>
      </c>
    </row>
    <row r="1586" spans="1:7" hidden="1" x14ac:dyDescent="0.2">
      <c r="A1586" s="229" t="s">
        <v>350</v>
      </c>
      <c r="B1586" s="229" t="s">
        <v>214</v>
      </c>
      <c r="C1586" s="229" t="s">
        <v>210</v>
      </c>
      <c r="D1586" s="229" t="s">
        <v>24</v>
      </c>
      <c r="E1586" s="229" t="s">
        <v>26</v>
      </c>
      <c r="F1586" s="229"/>
      <c r="G1586">
        <v>12</v>
      </c>
    </row>
    <row r="1587" spans="1:7" hidden="1" x14ac:dyDescent="0.2">
      <c r="A1587" s="229" t="s">
        <v>351</v>
      </c>
      <c r="B1587" s="229" t="s">
        <v>214</v>
      </c>
      <c r="C1587" s="229" t="s">
        <v>210</v>
      </c>
      <c r="D1587" s="229" t="s">
        <v>24</v>
      </c>
      <c r="E1587" s="229" t="s">
        <v>75</v>
      </c>
      <c r="F1587" s="229"/>
      <c r="G1587">
        <v>18</v>
      </c>
    </row>
    <row r="1588" spans="1:7" hidden="1" x14ac:dyDescent="0.2">
      <c r="A1588" s="229" t="s">
        <v>352</v>
      </c>
      <c r="B1588" s="229" t="s">
        <v>214</v>
      </c>
      <c r="C1588" s="229" t="s">
        <v>210</v>
      </c>
      <c r="D1588" s="229" t="s">
        <v>24</v>
      </c>
      <c r="E1588" s="229" t="s">
        <v>76</v>
      </c>
      <c r="F1588" s="229"/>
      <c r="G1588">
        <v>24</v>
      </c>
    </row>
    <row r="1589" spans="1:7" hidden="1" x14ac:dyDescent="0.2">
      <c r="A1589" s="229" t="s">
        <v>353</v>
      </c>
      <c r="B1589" s="229" t="s">
        <v>214</v>
      </c>
      <c r="C1589" s="229" t="s">
        <v>210</v>
      </c>
      <c r="D1589" s="229" t="s">
        <v>25</v>
      </c>
      <c r="E1589" s="229" t="s">
        <v>26</v>
      </c>
      <c r="F1589" s="229" t="s">
        <v>26</v>
      </c>
      <c r="G1589">
        <v>5</v>
      </c>
    </row>
    <row r="1590" spans="1:7" hidden="1" x14ac:dyDescent="0.2">
      <c r="A1590" s="229" t="s">
        <v>354</v>
      </c>
      <c r="B1590" s="229" t="s">
        <v>214</v>
      </c>
      <c r="C1590" s="229" t="s">
        <v>210</v>
      </c>
      <c r="D1590" s="229" t="s">
        <v>25</v>
      </c>
      <c r="E1590" s="229" t="s">
        <v>26</v>
      </c>
      <c r="F1590" s="229" t="s">
        <v>75</v>
      </c>
      <c r="G1590">
        <v>8</v>
      </c>
    </row>
    <row r="1591" spans="1:7" hidden="1" x14ac:dyDescent="0.2">
      <c r="A1591" s="229" t="s">
        <v>355</v>
      </c>
      <c r="B1591" s="229" t="s">
        <v>214</v>
      </c>
      <c r="C1591" s="229" t="s">
        <v>210</v>
      </c>
      <c r="D1591" s="229" t="s">
        <v>25</v>
      </c>
      <c r="E1591" s="229" t="s">
        <v>26</v>
      </c>
      <c r="F1591" s="229" t="s">
        <v>76</v>
      </c>
      <c r="G1591">
        <v>10</v>
      </c>
    </row>
    <row r="1592" spans="1:7" hidden="1" x14ac:dyDescent="0.2">
      <c r="A1592" s="229" t="s">
        <v>356</v>
      </c>
      <c r="B1592" s="229" t="s">
        <v>214</v>
      </c>
      <c r="C1592" s="229" t="s">
        <v>210</v>
      </c>
      <c r="D1592" s="229" t="s">
        <v>25</v>
      </c>
      <c r="E1592" s="229" t="s">
        <v>75</v>
      </c>
      <c r="F1592" s="229" t="s">
        <v>26</v>
      </c>
      <c r="G1592">
        <v>8</v>
      </c>
    </row>
    <row r="1593" spans="1:7" hidden="1" x14ac:dyDescent="0.2">
      <c r="A1593" s="229" t="s">
        <v>357</v>
      </c>
      <c r="B1593" s="229" t="s">
        <v>214</v>
      </c>
      <c r="C1593" s="229" t="s">
        <v>210</v>
      </c>
      <c r="D1593" s="229" t="s">
        <v>25</v>
      </c>
      <c r="E1593" s="229" t="s">
        <v>75</v>
      </c>
      <c r="F1593" s="229" t="s">
        <v>75</v>
      </c>
      <c r="G1593">
        <v>10</v>
      </c>
    </row>
    <row r="1594" spans="1:7" hidden="1" x14ac:dyDescent="0.2">
      <c r="A1594" s="229" t="s">
        <v>358</v>
      </c>
      <c r="B1594" s="229" t="s">
        <v>214</v>
      </c>
      <c r="C1594" s="229" t="s">
        <v>210</v>
      </c>
      <c r="D1594" s="229" t="s">
        <v>25</v>
      </c>
      <c r="E1594" s="229" t="s">
        <v>75</v>
      </c>
      <c r="F1594" s="229" t="s">
        <v>76</v>
      </c>
      <c r="G1594">
        <v>12</v>
      </c>
    </row>
    <row r="1595" spans="1:7" hidden="1" x14ac:dyDescent="0.2">
      <c r="A1595" s="229" t="s">
        <v>359</v>
      </c>
      <c r="B1595" s="229" t="s">
        <v>214</v>
      </c>
      <c r="C1595" s="229" t="s">
        <v>210</v>
      </c>
      <c r="D1595" s="229" t="s">
        <v>25</v>
      </c>
      <c r="E1595" s="229" t="s">
        <v>76</v>
      </c>
      <c r="F1595" s="229" t="s">
        <v>26</v>
      </c>
      <c r="G1595">
        <v>6</v>
      </c>
    </row>
    <row r="1596" spans="1:7" hidden="1" x14ac:dyDescent="0.2">
      <c r="A1596" s="229" t="s">
        <v>360</v>
      </c>
      <c r="B1596" s="229" t="s">
        <v>214</v>
      </c>
      <c r="C1596" s="229" t="s">
        <v>210</v>
      </c>
      <c r="D1596" s="229" t="s">
        <v>25</v>
      </c>
      <c r="E1596" s="229" t="s">
        <v>76</v>
      </c>
      <c r="F1596" s="229" t="s">
        <v>75</v>
      </c>
      <c r="G1596">
        <v>12</v>
      </c>
    </row>
    <row r="1597" spans="1:7" hidden="1" x14ac:dyDescent="0.2">
      <c r="A1597" s="229" t="s">
        <v>361</v>
      </c>
      <c r="B1597" s="229" t="s">
        <v>214</v>
      </c>
      <c r="C1597" s="229" t="s">
        <v>210</v>
      </c>
      <c r="D1597" s="229" t="s">
        <v>25</v>
      </c>
      <c r="E1597" s="229" t="s">
        <v>76</v>
      </c>
      <c r="F1597" s="229" t="s">
        <v>76</v>
      </c>
      <c r="G1597">
        <v>22</v>
      </c>
    </row>
    <row r="1598" spans="1:7" hidden="1" x14ac:dyDescent="0.2">
      <c r="A1598" t="str">
        <f t="shared" ref="A1598:A1600" si="28">B1598&amp;C1598&amp;D1598&amp;E1598&amp;F1598</f>
        <v/>
      </c>
    </row>
    <row r="1599" spans="1:7" hidden="1" x14ac:dyDescent="0.2">
      <c r="A1599" t="str">
        <f t="shared" si="28"/>
        <v/>
      </c>
    </row>
    <row r="1600" spans="1:7" hidden="1" x14ac:dyDescent="0.2">
      <c r="A1600" t="str">
        <f t="shared" si="28"/>
        <v/>
      </c>
    </row>
    <row r="1601" spans="1:1" hidden="1" x14ac:dyDescent="0.2">
      <c r="A1601" t="str">
        <f t="shared" ref="A1601:A1664" si="29">B1601&amp;C1601&amp;D1601&amp;E1601&amp;F1601</f>
        <v/>
      </c>
    </row>
    <row r="1602" spans="1:1" hidden="1" x14ac:dyDescent="0.2">
      <c r="A1602" t="str">
        <f t="shared" si="29"/>
        <v/>
      </c>
    </row>
    <row r="1603" spans="1:1" hidden="1" x14ac:dyDescent="0.2">
      <c r="A1603" t="str">
        <f t="shared" si="29"/>
        <v/>
      </c>
    </row>
    <row r="1604" spans="1:1" hidden="1" x14ac:dyDescent="0.2">
      <c r="A1604" t="str">
        <f t="shared" si="29"/>
        <v/>
      </c>
    </row>
    <row r="1605" spans="1:1" hidden="1" x14ac:dyDescent="0.2">
      <c r="A1605" t="str">
        <f t="shared" si="29"/>
        <v/>
      </c>
    </row>
    <row r="1606" spans="1:1" hidden="1" x14ac:dyDescent="0.2">
      <c r="A1606" t="str">
        <f t="shared" si="29"/>
        <v/>
      </c>
    </row>
    <row r="1607" spans="1:1" hidden="1" x14ac:dyDescent="0.2">
      <c r="A1607" t="str">
        <f t="shared" si="29"/>
        <v/>
      </c>
    </row>
    <row r="1608" spans="1:1" hidden="1" x14ac:dyDescent="0.2">
      <c r="A1608" t="str">
        <f t="shared" si="29"/>
        <v/>
      </c>
    </row>
    <row r="1609" spans="1:1" hidden="1" x14ac:dyDescent="0.2">
      <c r="A1609" t="str">
        <f t="shared" si="29"/>
        <v/>
      </c>
    </row>
    <row r="1610" spans="1:1" hidden="1" x14ac:dyDescent="0.2">
      <c r="A1610" t="str">
        <f t="shared" si="29"/>
        <v/>
      </c>
    </row>
    <row r="1611" spans="1:1" hidden="1" x14ac:dyDescent="0.2">
      <c r="A1611" t="str">
        <f t="shared" si="29"/>
        <v/>
      </c>
    </row>
    <row r="1612" spans="1:1" hidden="1" x14ac:dyDescent="0.2">
      <c r="A1612" t="str">
        <f t="shared" si="29"/>
        <v/>
      </c>
    </row>
    <row r="1613" spans="1:1" hidden="1" x14ac:dyDescent="0.2">
      <c r="A1613" t="str">
        <f t="shared" si="29"/>
        <v/>
      </c>
    </row>
    <row r="1614" spans="1:1" hidden="1" x14ac:dyDescent="0.2">
      <c r="A1614" t="str">
        <f t="shared" si="29"/>
        <v/>
      </c>
    </row>
    <row r="1615" spans="1:1" hidden="1" x14ac:dyDescent="0.2">
      <c r="A1615" t="str">
        <f t="shared" si="29"/>
        <v/>
      </c>
    </row>
    <row r="1616" spans="1:1" hidden="1" x14ac:dyDescent="0.2">
      <c r="A1616" t="str">
        <f t="shared" si="29"/>
        <v/>
      </c>
    </row>
    <row r="1617" spans="1:1" hidden="1" x14ac:dyDescent="0.2">
      <c r="A1617" t="str">
        <f t="shared" si="29"/>
        <v/>
      </c>
    </row>
    <row r="1618" spans="1:1" hidden="1" x14ac:dyDescent="0.2">
      <c r="A1618" t="str">
        <f t="shared" si="29"/>
        <v/>
      </c>
    </row>
    <row r="1619" spans="1:1" hidden="1" x14ac:dyDescent="0.2">
      <c r="A1619" t="str">
        <f t="shared" si="29"/>
        <v/>
      </c>
    </row>
    <row r="1620" spans="1:1" hidden="1" x14ac:dyDescent="0.2">
      <c r="A1620" t="str">
        <f t="shared" si="29"/>
        <v/>
      </c>
    </row>
    <row r="1621" spans="1:1" hidden="1" x14ac:dyDescent="0.2">
      <c r="A1621" t="str">
        <f t="shared" si="29"/>
        <v/>
      </c>
    </row>
    <row r="1622" spans="1:1" hidden="1" x14ac:dyDescent="0.2">
      <c r="A1622" t="str">
        <f t="shared" si="29"/>
        <v/>
      </c>
    </row>
    <row r="1623" spans="1:1" hidden="1" x14ac:dyDescent="0.2">
      <c r="A1623" t="str">
        <f t="shared" si="29"/>
        <v/>
      </c>
    </row>
    <row r="1624" spans="1:1" hidden="1" x14ac:dyDescent="0.2">
      <c r="A1624" t="str">
        <f t="shared" si="29"/>
        <v/>
      </c>
    </row>
    <row r="1625" spans="1:1" hidden="1" x14ac:dyDescent="0.2">
      <c r="A1625" t="str">
        <f t="shared" si="29"/>
        <v/>
      </c>
    </row>
    <row r="1626" spans="1:1" hidden="1" x14ac:dyDescent="0.2">
      <c r="A1626" t="str">
        <f t="shared" si="29"/>
        <v/>
      </c>
    </row>
    <row r="1627" spans="1:1" hidden="1" x14ac:dyDescent="0.2">
      <c r="A1627" t="str">
        <f t="shared" si="29"/>
        <v/>
      </c>
    </row>
    <row r="1628" spans="1:1" hidden="1" x14ac:dyDescent="0.2">
      <c r="A1628" t="str">
        <f t="shared" si="29"/>
        <v/>
      </c>
    </row>
    <row r="1629" spans="1:1" hidden="1" x14ac:dyDescent="0.2">
      <c r="A1629" t="str">
        <f t="shared" si="29"/>
        <v/>
      </c>
    </row>
    <row r="1630" spans="1:1" hidden="1" x14ac:dyDescent="0.2">
      <c r="A1630" t="str">
        <f t="shared" si="29"/>
        <v/>
      </c>
    </row>
    <row r="1631" spans="1:1" hidden="1" x14ac:dyDescent="0.2">
      <c r="A1631" t="str">
        <f t="shared" si="29"/>
        <v/>
      </c>
    </row>
    <row r="1632" spans="1:1" hidden="1" x14ac:dyDescent="0.2">
      <c r="A1632" t="str">
        <f t="shared" si="29"/>
        <v/>
      </c>
    </row>
    <row r="1633" spans="1:1" hidden="1" x14ac:dyDescent="0.2">
      <c r="A1633" t="str">
        <f t="shared" si="29"/>
        <v/>
      </c>
    </row>
    <row r="1634" spans="1:1" hidden="1" x14ac:dyDescent="0.2">
      <c r="A1634" t="str">
        <f t="shared" si="29"/>
        <v/>
      </c>
    </row>
    <row r="1635" spans="1:1" hidden="1" x14ac:dyDescent="0.2">
      <c r="A1635" t="str">
        <f t="shared" si="29"/>
        <v/>
      </c>
    </row>
    <row r="1636" spans="1:1" hidden="1" x14ac:dyDescent="0.2">
      <c r="A1636" t="str">
        <f t="shared" si="29"/>
        <v/>
      </c>
    </row>
    <row r="1637" spans="1:1" hidden="1" x14ac:dyDescent="0.2">
      <c r="A1637" t="str">
        <f t="shared" si="29"/>
        <v/>
      </c>
    </row>
    <row r="1638" spans="1:1" hidden="1" x14ac:dyDescent="0.2">
      <c r="A1638" t="str">
        <f t="shared" si="29"/>
        <v/>
      </c>
    </row>
    <row r="1639" spans="1:1" hidden="1" x14ac:dyDescent="0.2">
      <c r="A1639" t="str">
        <f t="shared" si="29"/>
        <v/>
      </c>
    </row>
    <row r="1640" spans="1:1" hidden="1" x14ac:dyDescent="0.2">
      <c r="A1640" t="str">
        <f t="shared" si="29"/>
        <v/>
      </c>
    </row>
    <row r="1641" spans="1:1" hidden="1" x14ac:dyDescent="0.2">
      <c r="A1641" t="str">
        <f t="shared" si="29"/>
        <v/>
      </c>
    </row>
    <row r="1642" spans="1:1" hidden="1" x14ac:dyDescent="0.2">
      <c r="A1642" t="str">
        <f t="shared" si="29"/>
        <v/>
      </c>
    </row>
    <row r="1643" spans="1:1" hidden="1" x14ac:dyDescent="0.2">
      <c r="A1643" t="str">
        <f t="shared" si="29"/>
        <v/>
      </c>
    </row>
    <row r="1644" spans="1:1" hidden="1" x14ac:dyDescent="0.2">
      <c r="A1644" t="str">
        <f t="shared" si="29"/>
        <v/>
      </c>
    </row>
    <row r="1645" spans="1:1" hidden="1" x14ac:dyDescent="0.2">
      <c r="A1645" t="str">
        <f t="shared" si="29"/>
        <v/>
      </c>
    </row>
    <row r="1646" spans="1:1" hidden="1" x14ac:dyDescent="0.2">
      <c r="A1646" t="str">
        <f t="shared" si="29"/>
        <v/>
      </c>
    </row>
    <row r="1647" spans="1:1" hidden="1" x14ac:dyDescent="0.2">
      <c r="A1647" t="str">
        <f t="shared" si="29"/>
        <v/>
      </c>
    </row>
    <row r="1648" spans="1:1" hidden="1" x14ac:dyDescent="0.2">
      <c r="A1648" t="str">
        <f t="shared" si="29"/>
        <v/>
      </c>
    </row>
    <row r="1649" spans="1:1" hidden="1" x14ac:dyDescent="0.2">
      <c r="A1649" t="str">
        <f t="shared" si="29"/>
        <v/>
      </c>
    </row>
    <row r="1650" spans="1:1" hidden="1" x14ac:dyDescent="0.2">
      <c r="A1650" t="str">
        <f t="shared" si="29"/>
        <v/>
      </c>
    </row>
    <row r="1651" spans="1:1" hidden="1" x14ac:dyDescent="0.2">
      <c r="A1651" t="str">
        <f t="shared" si="29"/>
        <v/>
      </c>
    </row>
    <row r="1652" spans="1:1" hidden="1" x14ac:dyDescent="0.2">
      <c r="A1652" t="str">
        <f t="shared" si="29"/>
        <v/>
      </c>
    </row>
    <row r="1653" spans="1:1" hidden="1" x14ac:dyDescent="0.2">
      <c r="A1653" t="str">
        <f t="shared" si="29"/>
        <v/>
      </c>
    </row>
    <row r="1654" spans="1:1" hidden="1" x14ac:dyDescent="0.2">
      <c r="A1654" t="str">
        <f t="shared" si="29"/>
        <v/>
      </c>
    </row>
    <row r="1655" spans="1:1" hidden="1" x14ac:dyDescent="0.2">
      <c r="A1655" t="str">
        <f t="shared" si="29"/>
        <v/>
      </c>
    </row>
    <row r="1656" spans="1:1" hidden="1" x14ac:dyDescent="0.2">
      <c r="A1656" t="str">
        <f t="shared" si="29"/>
        <v/>
      </c>
    </row>
    <row r="1657" spans="1:1" hidden="1" x14ac:dyDescent="0.2">
      <c r="A1657" t="str">
        <f t="shared" si="29"/>
        <v/>
      </c>
    </row>
    <row r="1658" spans="1:1" hidden="1" x14ac:dyDescent="0.2">
      <c r="A1658" t="str">
        <f t="shared" si="29"/>
        <v/>
      </c>
    </row>
    <row r="1659" spans="1:1" hidden="1" x14ac:dyDescent="0.2">
      <c r="A1659" t="str">
        <f t="shared" si="29"/>
        <v/>
      </c>
    </row>
    <row r="1660" spans="1:1" hidden="1" x14ac:dyDescent="0.2">
      <c r="A1660" t="str">
        <f t="shared" si="29"/>
        <v/>
      </c>
    </row>
    <row r="1661" spans="1:1" hidden="1" x14ac:dyDescent="0.2">
      <c r="A1661" t="str">
        <f t="shared" si="29"/>
        <v/>
      </c>
    </row>
    <row r="1662" spans="1:1" hidden="1" x14ac:dyDescent="0.2">
      <c r="A1662" t="str">
        <f t="shared" si="29"/>
        <v/>
      </c>
    </row>
    <row r="1663" spans="1:1" hidden="1" x14ac:dyDescent="0.2">
      <c r="A1663" t="str">
        <f t="shared" si="29"/>
        <v/>
      </c>
    </row>
    <row r="1664" spans="1:1" hidden="1" x14ac:dyDescent="0.2">
      <c r="A1664" t="str">
        <f t="shared" si="29"/>
        <v/>
      </c>
    </row>
    <row r="1665" spans="1:1" hidden="1" x14ac:dyDescent="0.2">
      <c r="A1665" t="str">
        <f t="shared" ref="A1665:A1728" si="30">B1665&amp;C1665&amp;D1665&amp;E1665&amp;F1665</f>
        <v/>
      </c>
    </row>
    <row r="1666" spans="1:1" hidden="1" x14ac:dyDescent="0.2">
      <c r="A1666" t="str">
        <f t="shared" si="30"/>
        <v/>
      </c>
    </row>
    <row r="1667" spans="1:1" hidden="1" x14ac:dyDescent="0.2">
      <c r="A1667" t="str">
        <f t="shared" si="30"/>
        <v/>
      </c>
    </row>
    <row r="1668" spans="1:1" hidden="1" x14ac:dyDescent="0.2">
      <c r="A1668" t="str">
        <f t="shared" si="30"/>
        <v/>
      </c>
    </row>
    <row r="1669" spans="1:1" hidden="1" x14ac:dyDescent="0.2">
      <c r="A1669" t="str">
        <f t="shared" si="30"/>
        <v/>
      </c>
    </row>
    <row r="1670" spans="1:1" hidden="1" x14ac:dyDescent="0.2">
      <c r="A1670" t="str">
        <f t="shared" si="30"/>
        <v/>
      </c>
    </row>
    <row r="1671" spans="1:1" hidden="1" x14ac:dyDescent="0.2">
      <c r="A1671" t="str">
        <f t="shared" si="30"/>
        <v/>
      </c>
    </row>
    <row r="1672" spans="1:1" hidden="1" x14ac:dyDescent="0.2">
      <c r="A1672" t="str">
        <f t="shared" si="30"/>
        <v/>
      </c>
    </row>
    <row r="1673" spans="1:1" hidden="1" x14ac:dyDescent="0.2">
      <c r="A1673" t="str">
        <f t="shared" si="30"/>
        <v/>
      </c>
    </row>
    <row r="1674" spans="1:1" hidden="1" x14ac:dyDescent="0.2">
      <c r="A1674" t="str">
        <f t="shared" si="30"/>
        <v/>
      </c>
    </row>
    <row r="1675" spans="1:1" hidden="1" x14ac:dyDescent="0.2">
      <c r="A1675" t="str">
        <f t="shared" si="30"/>
        <v/>
      </c>
    </row>
    <row r="1676" spans="1:1" hidden="1" x14ac:dyDescent="0.2">
      <c r="A1676" t="str">
        <f t="shared" si="30"/>
        <v/>
      </c>
    </row>
    <row r="1677" spans="1:1" hidden="1" x14ac:dyDescent="0.2">
      <c r="A1677" t="str">
        <f t="shared" si="30"/>
        <v/>
      </c>
    </row>
    <row r="1678" spans="1:1" hidden="1" x14ac:dyDescent="0.2">
      <c r="A1678" t="str">
        <f t="shared" si="30"/>
        <v/>
      </c>
    </row>
    <row r="1679" spans="1:1" hidden="1" x14ac:dyDescent="0.2">
      <c r="A1679" t="str">
        <f t="shared" si="30"/>
        <v/>
      </c>
    </row>
    <row r="1680" spans="1:1" hidden="1" x14ac:dyDescent="0.2">
      <c r="A1680" t="str">
        <f t="shared" si="30"/>
        <v/>
      </c>
    </row>
    <row r="1681" spans="1:1" hidden="1" x14ac:dyDescent="0.2">
      <c r="A1681" t="str">
        <f t="shared" si="30"/>
        <v/>
      </c>
    </row>
    <row r="1682" spans="1:1" hidden="1" x14ac:dyDescent="0.2">
      <c r="A1682" t="str">
        <f t="shared" si="30"/>
        <v/>
      </c>
    </row>
    <row r="1683" spans="1:1" hidden="1" x14ac:dyDescent="0.2">
      <c r="A1683" t="str">
        <f t="shared" si="30"/>
        <v/>
      </c>
    </row>
    <row r="1684" spans="1:1" hidden="1" x14ac:dyDescent="0.2">
      <c r="A1684" t="str">
        <f t="shared" si="30"/>
        <v/>
      </c>
    </row>
    <row r="1685" spans="1:1" hidden="1" x14ac:dyDescent="0.2">
      <c r="A1685" t="str">
        <f t="shared" si="30"/>
        <v/>
      </c>
    </row>
    <row r="1686" spans="1:1" hidden="1" x14ac:dyDescent="0.2">
      <c r="A1686" t="str">
        <f t="shared" si="30"/>
        <v/>
      </c>
    </row>
    <row r="1687" spans="1:1" hidden="1" x14ac:dyDescent="0.2">
      <c r="A1687" t="str">
        <f t="shared" si="30"/>
        <v/>
      </c>
    </row>
    <row r="1688" spans="1:1" hidden="1" x14ac:dyDescent="0.2">
      <c r="A1688" t="str">
        <f t="shared" si="30"/>
        <v/>
      </c>
    </row>
    <row r="1689" spans="1:1" hidden="1" x14ac:dyDescent="0.2">
      <c r="A1689" t="str">
        <f t="shared" si="30"/>
        <v/>
      </c>
    </row>
    <row r="1690" spans="1:1" hidden="1" x14ac:dyDescent="0.2">
      <c r="A1690" t="str">
        <f t="shared" si="30"/>
        <v/>
      </c>
    </row>
    <row r="1691" spans="1:1" hidden="1" x14ac:dyDescent="0.2">
      <c r="A1691" t="str">
        <f t="shared" si="30"/>
        <v/>
      </c>
    </row>
    <row r="1692" spans="1:1" hidden="1" x14ac:dyDescent="0.2">
      <c r="A1692" t="str">
        <f t="shared" si="30"/>
        <v/>
      </c>
    </row>
    <row r="1693" spans="1:1" hidden="1" x14ac:dyDescent="0.2">
      <c r="A1693" t="str">
        <f t="shared" si="30"/>
        <v/>
      </c>
    </row>
    <row r="1694" spans="1:1" hidden="1" x14ac:dyDescent="0.2">
      <c r="A1694" t="str">
        <f t="shared" si="30"/>
        <v/>
      </c>
    </row>
    <row r="1695" spans="1:1" hidden="1" x14ac:dyDescent="0.2">
      <c r="A1695" t="str">
        <f t="shared" si="30"/>
        <v/>
      </c>
    </row>
    <row r="1696" spans="1:1" hidden="1" x14ac:dyDescent="0.2">
      <c r="A1696" t="str">
        <f t="shared" si="30"/>
        <v/>
      </c>
    </row>
    <row r="1697" spans="1:1" hidden="1" x14ac:dyDescent="0.2">
      <c r="A1697" t="str">
        <f t="shared" si="30"/>
        <v/>
      </c>
    </row>
    <row r="1698" spans="1:1" hidden="1" x14ac:dyDescent="0.2">
      <c r="A1698" t="str">
        <f t="shared" si="30"/>
        <v/>
      </c>
    </row>
    <row r="1699" spans="1:1" hidden="1" x14ac:dyDescent="0.2">
      <c r="A1699" t="str">
        <f t="shared" si="30"/>
        <v/>
      </c>
    </row>
    <row r="1700" spans="1:1" hidden="1" x14ac:dyDescent="0.2">
      <c r="A1700" t="str">
        <f t="shared" si="30"/>
        <v/>
      </c>
    </row>
    <row r="1701" spans="1:1" hidden="1" x14ac:dyDescent="0.2">
      <c r="A1701" t="str">
        <f t="shared" si="30"/>
        <v/>
      </c>
    </row>
    <row r="1702" spans="1:1" hidden="1" x14ac:dyDescent="0.2">
      <c r="A1702" t="str">
        <f t="shared" si="30"/>
        <v/>
      </c>
    </row>
    <row r="1703" spans="1:1" hidden="1" x14ac:dyDescent="0.2">
      <c r="A1703" t="str">
        <f t="shared" si="30"/>
        <v/>
      </c>
    </row>
    <row r="1704" spans="1:1" hidden="1" x14ac:dyDescent="0.2">
      <c r="A1704" t="str">
        <f t="shared" si="30"/>
        <v/>
      </c>
    </row>
    <row r="1705" spans="1:1" hidden="1" x14ac:dyDescent="0.2">
      <c r="A1705" t="str">
        <f t="shared" si="30"/>
        <v/>
      </c>
    </row>
    <row r="1706" spans="1:1" hidden="1" x14ac:dyDescent="0.2">
      <c r="A1706" t="str">
        <f t="shared" si="30"/>
        <v/>
      </c>
    </row>
    <row r="1707" spans="1:1" hidden="1" x14ac:dyDescent="0.2">
      <c r="A1707" t="str">
        <f t="shared" si="30"/>
        <v/>
      </c>
    </row>
    <row r="1708" spans="1:1" hidden="1" x14ac:dyDescent="0.2">
      <c r="A1708" t="str">
        <f t="shared" si="30"/>
        <v/>
      </c>
    </row>
    <row r="1709" spans="1:1" hidden="1" x14ac:dyDescent="0.2">
      <c r="A1709" t="str">
        <f t="shared" si="30"/>
        <v/>
      </c>
    </row>
    <row r="1710" spans="1:1" hidden="1" x14ac:dyDescent="0.2">
      <c r="A1710" t="str">
        <f t="shared" si="30"/>
        <v/>
      </c>
    </row>
    <row r="1711" spans="1:1" hidden="1" x14ac:dyDescent="0.2">
      <c r="A1711" t="str">
        <f t="shared" si="30"/>
        <v/>
      </c>
    </row>
    <row r="1712" spans="1:1" hidden="1" x14ac:dyDescent="0.2">
      <c r="A1712" t="str">
        <f t="shared" si="30"/>
        <v/>
      </c>
    </row>
    <row r="1713" spans="1:1" hidden="1" x14ac:dyDescent="0.2">
      <c r="A1713" t="str">
        <f t="shared" si="30"/>
        <v/>
      </c>
    </row>
    <row r="1714" spans="1:1" hidden="1" x14ac:dyDescent="0.2">
      <c r="A1714" t="str">
        <f t="shared" si="30"/>
        <v/>
      </c>
    </row>
    <row r="1715" spans="1:1" hidden="1" x14ac:dyDescent="0.2">
      <c r="A1715" t="str">
        <f t="shared" si="30"/>
        <v/>
      </c>
    </row>
    <row r="1716" spans="1:1" hidden="1" x14ac:dyDescent="0.2">
      <c r="A1716" t="str">
        <f t="shared" si="30"/>
        <v/>
      </c>
    </row>
    <row r="1717" spans="1:1" hidden="1" x14ac:dyDescent="0.2">
      <c r="A1717" t="str">
        <f t="shared" si="30"/>
        <v/>
      </c>
    </row>
    <row r="1718" spans="1:1" hidden="1" x14ac:dyDescent="0.2">
      <c r="A1718" t="str">
        <f t="shared" si="30"/>
        <v/>
      </c>
    </row>
    <row r="1719" spans="1:1" hidden="1" x14ac:dyDescent="0.2">
      <c r="A1719" t="str">
        <f t="shared" si="30"/>
        <v/>
      </c>
    </row>
    <row r="1720" spans="1:1" hidden="1" x14ac:dyDescent="0.2">
      <c r="A1720" t="str">
        <f t="shared" si="30"/>
        <v/>
      </c>
    </row>
    <row r="1721" spans="1:1" hidden="1" x14ac:dyDescent="0.2">
      <c r="A1721" t="str">
        <f t="shared" si="30"/>
        <v/>
      </c>
    </row>
    <row r="1722" spans="1:1" hidden="1" x14ac:dyDescent="0.2">
      <c r="A1722" t="str">
        <f t="shared" si="30"/>
        <v/>
      </c>
    </row>
    <row r="1723" spans="1:1" hidden="1" x14ac:dyDescent="0.2">
      <c r="A1723" t="str">
        <f t="shared" si="30"/>
        <v/>
      </c>
    </row>
    <row r="1724" spans="1:1" hidden="1" x14ac:dyDescent="0.2">
      <c r="A1724" t="str">
        <f t="shared" si="30"/>
        <v/>
      </c>
    </row>
    <row r="1725" spans="1:1" hidden="1" x14ac:dyDescent="0.2">
      <c r="A1725" t="str">
        <f t="shared" si="30"/>
        <v/>
      </c>
    </row>
    <row r="1726" spans="1:1" hidden="1" x14ac:dyDescent="0.2">
      <c r="A1726" t="str">
        <f t="shared" si="30"/>
        <v/>
      </c>
    </row>
    <row r="1727" spans="1:1" hidden="1" x14ac:dyDescent="0.2">
      <c r="A1727" t="str">
        <f t="shared" si="30"/>
        <v/>
      </c>
    </row>
    <row r="1728" spans="1:1" hidden="1" x14ac:dyDescent="0.2">
      <c r="A1728" t="str">
        <f t="shared" si="30"/>
        <v/>
      </c>
    </row>
    <row r="1729" spans="1:1" hidden="1" x14ac:dyDescent="0.2">
      <c r="A1729" t="str">
        <f t="shared" ref="A1729:A1792" si="31">B1729&amp;C1729&amp;D1729&amp;E1729&amp;F1729</f>
        <v/>
      </c>
    </row>
    <row r="1730" spans="1:1" hidden="1" x14ac:dyDescent="0.2">
      <c r="A1730" t="str">
        <f t="shared" si="31"/>
        <v/>
      </c>
    </row>
    <row r="1731" spans="1:1" hidden="1" x14ac:dyDescent="0.2">
      <c r="A1731" t="str">
        <f t="shared" si="31"/>
        <v/>
      </c>
    </row>
    <row r="1732" spans="1:1" hidden="1" x14ac:dyDescent="0.2">
      <c r="A1732" t="str">
        <f t="shared" si="31"/>
        <v/>
      </c>
    </row>
    <row r="1733" spans="1:1" hidden="1" x14ac:dyDescent="0.2">
      <c r="A1733" t="str">
        <f t="shared" si="31"/>
        <v/>
      </c>
    </row>
    <row r="1734" spans="1:1" hidden="1" x14ac:dyDescent="0.2">
      <c r="A1734" t="str">
        <f t="shared" si="31"/>
        <v/>
      </c>
    </row>
    <row r="1735" spans="1:1" hidden="1" x14ac:dyDescent="0.2">
      <c r="A1735" t="str">
        <f t="shared" si="31"/>
        <v/>
      </c>
    </row>
    <row r="1736" spans="1:1" hidden="1" x14ac:dyDescent="0.2">
      <c r="A1736" t="str">
        <f t="shared" si="31"/>
        <v/>
      </c>
    </row>
    <row r="1737" spans="1:1" hidden="1" x14ac:dyDescent="0.2">
      <c r="A1737" t="str">
        <f t="shared" si="31"/>
        <v/>
      </c>
    </row>
    <row r="1738" spans="1:1" hidden="1" x14ac:dyDescent="0.2">
      <c r="A1738" t="str">
        <f t="shared" si="31"/>
        <v/>
      </c>
    </row>
    <row r="1739" spans="1:1" hidden="1" x14ac:dyDescent="0.2">
      <c r="A1739" t="str">
        <f t="shared" si="31"/>
        <v/>
      </c>
    </row>
    <row r="1740" spans="1:1" hidden="1" x14ac:dyDescent="0.2">
      <c r="A1740" t="str">
        <f t="shared" si="31"/>
        <v/>
      </c>
    </row>
    <row r="1741" spans="1:1" hidden="1" x14ac:dyDescent="0.2">
      <c r="A1741" t="str">
        <f t="shared" si="31"/>
        <v/>
      </c>
    </row>
    <row r="1742" spans="1:1" hidden="1" x14ac:dyDescent="0.2">
      <c r="A1742" t="str">
        <f t="shared" si="31"/>
        <v/>
      </c>
    </row>
    <row r="1743" spans="1:1" hidden="1" x14ac:dyDescent="0.2">
      <c r="A1743" t="str">
        <f t="shared" si="31"/>
        <v/>
      </c>
    </row>
    <row r="1744" spans="1:1" hidden="1" x14ac:dyDescent="0.2">
      <c r="A1744" t="str">
        <f t="shared" si="31"/>
        <v/>
      </c>
    </row>
    <row r="1745" spans="1:1" hidden="1" x14ac:dyDescent="0.2">
      <c r="A1745" t="str">
        <f t="shared" si="31"/>
        <v/>
      </c>
    </row>
    <row r="1746" spans="1:1" hidden="1" x14ac:dyDescent="0.2">
      <c r="A1746" t="str">
        <f t="shared" si="31"/>
        <v/>
      </c>
    </row>
    <row r="1747" spans="1:1" hidden="1" x14ac:dyDescent="0.2">
      <c r="A1747" t="str">
        <f t="shared" si="31"/>
        <v/>
      </c>
    </row>
    <row r="1748" spans="1:1" hidden="1" x14ac:dyDescent="0.2">
      <c r="A1748" t="str">
        <f t="shared" si="31"/>
        <v/>
      </c>
    </row>
    <row r="1749" spans="1:1" hidden="1" x14ac:dyDescent="0.2">
      <c r="A1749" t="str">
        <f t="shared" si="31"/>
        <v/>
      </c>
    </row>
    <row r="1750" spans="1:1" hidden="1" x14ac:dyDescent="0.2">
      <c r="A1750" t="str">
        <f t="shared" si="31"/>
        <v/>
      </c>
    </row>
    <row r="1751" spans="1:1" hidden="1" x14ac:dyDescent="0.2">
      <c r="A1751" t="str">
        <f t="shared" si="31"/>
        <v/>
      </c>
    </row>
    <row r="1752" spans="1:1" hidden="1" x14ac:dyDescent="0.2">
      <c r="A1752" t="str">
        <f t="shared" si="31"/>
        <v/>
      </c>
    </row>
    <row r="1753" spans="1:1" hidden="1" x14ac:dyDescent="0.2">
      <c r="A1753" t="str">
        <f t="shared" si="31"/>
        <v/>
      </c>
    </row>
    <row r="1754" spans="1:1" hidden="1" x14ac:dyDescent="0.2">
      <c r="A1754" t="str">
        <f t="shared" si="31"/>
        <v/>
      </c>
    </row>
    <row r="1755" spans="1:1" hidden="1" x14ac:dyDescent="0.2">
      <c r="A1755" t="str">
        <f t="shared" si="31"/>
        <v/>
      </c>
    </row>
    <row r="1756" spans="1:1" hidden="1" x14ac:dyDescent="0.2">
      <c r="A1756" t="str">
        <f t="shared" si="31"/>
        <v/>
      </c>
    </row>
    <row r="1757" spans="1:1" hidden="1" x14ac:dyDescent="0.2">
      <c r="A1757" t="str">
        <f t="shared" si="31"/>
        <v/>
      </c>
    </row>
    <row r="1758" spans="1:1" hidden="1" x14ac:dyDescent="0.2">
      <c r="A1758" t="str">
        <f t="shared" si="31"/>
        <v/>
      </c>
    </row>
    <row r="1759" spans="1:1" hidden="1" x14ac:dyDescent="0.2">
      <c r="A1759" t="str">
        <f t="shared" si="31"/>
        <v/>
      </c>
    </row>
    <row r="1760" spans="1:1" hidden="1" x14ac:dyDescent="0.2">
      <c r="A1760" t="str">
        <f t="shared" si="31"/>
        <v/>
      </c>
    </row>
    <row r="1761" spans="1:1" hidden="1" x14ac:dyDescent="0.2">
      <c r="A1761" t="str">
        <f t="shared" si="31"/>
        <v/>
      </c>
    </row>
    <row r="1762" spans="1:1" hidden="1" x14ac:dyDescent="0.2">
      <c r="A1762" t="str">
        <f t="shared" si="31"/>
        <v/>
      </c>
    </row>
    <row r="1763" spans="1:1" hidden="1" x14ac:dyDescent="0.2">
      <c r="A1763" t="str">
        <f t="shared" si="31"/>
        <v/>
      </c>
    </row>
    <row r="1764" spans="1:1" hidden="1" x14ac:dyDescent="0.2">
      <c r="A1764" t="str">
        <f t="shared" si="31"/>
        <v/>
      </c>
    </row>
    <row r="1765" spans="1:1" hidden="1" x14ac:dyDescent="0.2">
      <c r="A1765" t="str">
        <f t="shared" si="31"/>
        <v/>
      </c>
    </row>
    <row r="1766" spans="1:1" hidden="1" x14ac:dyDescent="0.2">
      <c r="A1766" t="str">
        <f t="shared" si="31"/>
        <v/>
      </c>
    </row>
    <row r="1767" spans="1:1" hidden="1" x14ac:dyDescent="0.2">
      <c r="A1767" t="str">
        <f t="shared" si="31"/>
        <v/>
      </c>
    </row>
    <row r="1768" spans="1:1" hidden="1" x14ac:dyDescent="0.2">
      <c r="A1768" t="str">
        <f t="shared" si="31"/>
        <v/>
      </c>
    </row>
    <row r="1769" spans="1:1" hidden="1" x14ac:dyDescent="0.2">
      <c r="A1769" t="str">
        <f t="shared" si="31"/>
        <v/>
      </c>
    </row>
    <row r="1770" spans="1:1" hidden="1" x14ac:dyDescent="0.2">
      <c r="A1770" t="str">
        <f t="shared" si="31"/>
        <v/>
      </c>
    </row>
    <row r="1771" spans="1:1" hidden="1" x14ac:dyDescent="0.2">
      <c r="A1771" t="str">
        <f t="shared" si="31"/>
        <v/>
      </c>
    </row>
    <row r="1772" spans="1:1" hidden="1" x14ac:dyDescent="0.2">
      <c r="A1772" t="str">
        <f t="shared" si="31"/>
        <v/>
      </c>
    </row>
    <row r="1773" spans="1:1" hidden="1" x14ac:dyDescent="0.2">
      <c r="A1773" t="str">
        <f t="shared" si="31"/>
        <v/>
      </c>
    </row>
    <row r="1774" spans="1:1" hidden="1" x14ac:dyDescent="0.2">
      <c r="A1774" t="str">
        <f t="shared" si="31"/>
        <v/>
      </c>
    </row>
    <row r="1775" spans="1:1" hidden="1" x14ac:dyDescent="0.2">
      <c r="A1775" t="str">
        <f t="shared" si="31"/>
        <v/>
      </c>
    </row>
    <row r="1776" spans="1:1" hidden="1" x14ac:dyDescent="0.2">
      <c r="A1776" t="str">
        <f t="shared" si="31"/>
        <v/>
      </c>
    </row>
    <row r="1777" spans="1:1" hidden="1" x14ac:dyDescent="0.2">
      <c r="A1777" t="str">
        <f t="shared" si="31"/>
        <v/>
      </c>
    </row>
    <row r="1778" spans="1:1" hidden="1" x14ac:dyDescent="0.2">
      <c r="A1778" t="str">
        <f t="shared" si="31"/>
        <v/>
      </c>
    </row>
    <row r="1779" spans="1:1" hidden="1" x14ac:dyDescent="0.2">
      <c r="A1779" t="str">
        <f t="shared" si="31"/>
        <v/>
      </c>
    </row>
    <row r="1780" spans="1:1" hidden="1" x14ac:dyDescent="0.2">
      <c r="A1780" t="str">
        <f t="shared" si="31"/>
        <v/>
      </c>
    </row>
    <row r="1781" spans="1:1" hidden="1" x14ac:dyDescent="0.2">
      <c r="A1781" t="str">
        <f t="shared" si="31"/>
        <v/>
      </c>
    </row>
    <row r="1782" spans="1:1" hidden="1" x14ac:dyDescent="0.2">
      <c r="A1782" t="str">
        <f t="shared" si="31"/>
        <v/>
      </c>
    </row>
    <row r="1783" spans="1:1" hidden="1" x14ac:dyDescent="0.2">
      <c r="A1783" t="str">
        <f t="shared" si="31"/>
        <v/>
      </c>
    </row>
    <row r="1784" spans="1:1" hidden="1" x14ac:dyDescent="0.2">
      <c r="A1784" t="str">
        <f t="shared" si="31"/>
        <v/>
      </c>
    </row>
    <row r="1785" spans="1:1" hidden="1" x14ac:dyDescent="0.2">
      <c r="A1785" t="str">
        <f t="shared" si="31"/>
        <v/>
      </c>
    </row>
    <row r="1786" spans="1:1" hidden="1" x14ac:dyDescent="0.2">
      <c r="A1786" t="str">
        <f t="shared" si="31"/>
        <v/>
      </c>
    </row>
    <row r="1787" spans="1:1" hidden="1" x14ac:dyDescent="0.2">
      <c r="A1787" t="str">
        <f t="shared" si="31"/>
        <v/>
      </c>
    </row>
    <row r="1788" spans="1:1" hidden="1" x14ac:dyDescent="0.2">
      <c r="A1788" t="str">
        <f t="shared" si="31"/>
        <v/>
      </c>
    </row>
    <row r="1789" spans="1:1" hidden="1" x14ac:dyDescent="0.2">
      <c r="A1789" t="str">
        <f t="shared" si="31"/>
        <v/>
      </c>
    </row>
    <row r="1790" spans="1:1" hidden="1" x14ac:dyDescent="0.2">
      <c r="A1790" t="str">
        <f t="shared" si="31"/>
        <v/>
      </c>
    </row>
    <row r="1791" spans="1:1" hidden="1" x14ac:dyDescent="0.2">
      <c r="A1791" t="str">
        <f t="shared" si="31"/>
        <v/>
      </c>
    </row>
    <row r="1792" spans="1:1" hidden="1" x14ac:dyDescent="0.2">
      <c r="A1792" t="str">
        <f t="shared" si="31"/>
        <v/>
      </c>
    </row>
    <row r="1793" spans="1:1" hidden="1" x14ac:dyDescent="0.2">
      <c r="A1793" t="str">
        <f t="shared" ref="A1793:A1856" si="32">B1793&amp;C1793&amp;D1793&amp;E1793&amp;F1793</f>
        <v/>
      </c>
    </row>
    <row r="1794" spans="1:1" hidden="1" x14ac:dyDescent="0.2">
      <c r="A1794" t="str">
        <f t="shared" si="32"/>
        <v/>
      </c>
    </row>
    <row r="1795" spans="1:1" hidden="1" x14ac:dyDescent="0.2">
      <c r="A1795" t="str">
        <f t="shared" si="32"/>
        <v/>
      </c>
    </row>
    <row r="1796" spans="1:1" hidden="1" x14ac:dyDescent="0.2">
      <c r="A1796" t="str">
        <f t="shared" si="32"/>
        <v/>
      </c>
    </row>
    <row r="1797" spans="1:1" hidden="1" x14ac:dyDescent="0.2">
      <c r="A1797" t="str">
        <f t="shared" si="32"/>
        <v/>
      </c>
    </row>
    <row r="1798" spans="1:1" hidden="1" x14ac:dyDescent="0.2">
      <c r="A1798" t="str">
        <f t="shared" si="32"/>
        <v/>
      </c>
    </row>
    <row r="1799" spans="1:1" hidden="1" x14ac:dyDescent="0.2">
      <c r="A1799" t="str">
        <f t="shared" si="32"/>
        <v/>
      </c>
    </row>
    <row r="1800" spans="1:1" hidden="1" x14ac:dyDescent="0.2">
      <c r="A1800" t="str">
        <f t="shared" si="32"/>
        <v/>
      </c>
    </row>
    <row r="1801" spans="1:1" hidden="1" x14ac:dyDescent="0.2">
      <c r="A1801" t="str">
        <f t="shared" si="32"/>
        <v/>
      </c>
    </row>
    <row r="1802" spans="1:1" hidden="1" x14ac:dyDescent="0.2">
      <c r="A1802" t="str">
        <f t="shared" si="32"/>
        <v/>
      </c>
    </row>
    <row r="1803" spans="1:1" hidden="1" x14ac:dyDescent="0.2">
      <c r="A1803" t="str">
        <f t="shared" si="32"/>
        <v/>
      </c>
    </row>
    <row r="1804" spans="1:1" hidden="1" x14ac:dyDescent="0.2">
      <c r="A1804" t="str">
        <f t="shared" si="32"/>
        <v/>
      </c>
    </row>
    <row r="1805" spans="1:1" hidden="1" x14ac:dyDescent="0.2">
      <c r="A1805" t="str">
        <f t="shared" si="32"/>
        <v/>
      </c>
    </row>
    <row r="1806" spans="1:1" hidden="1" x14ac:dyDescent="0.2">
      <c r="A1806" t="str">
        <f t="shared" si="32"/>
        <v/>
      </c>
    </row>
    <row r="1807" spans="1:1" hidden="1" x14ac:dyDescent="0.2">
      <c r="A1807" t="str">
        <f t="shared" si="32"/>
        <v/>
      </c>
    </row>
    <row r="1808" spans="1:1" hidden="1" x14ac:dyDescent="0.2">
      <c r="A1808" t="str">
        <f t="shared" si="32"/>
        <v/>
      </c>
    </row>
    <row r="1809" spans="1:1" hidden="1" x14ac:dyDescent="0.2">
      <c r="A1809" t="str">
        <f t="shared" si="32"/>
        <v/>
      </c>
    </row>
    <row r="1810" spans="1:1" hidden="1" x14ac:dyDescent="0.2">
      <c r="A1810" t="str">
        <f t="shared" si="32"/>
        <v/>
      </c>
    </row>
    <row r="1811" spans="1:1" hidden="1" x14ac:dyDescent="0.2">
      <c r="A1811" t="str">
        <f t="shared" si="32"/>
        <v/>
      </c>
    </row>
    <row r="1812" spans="1:1" hidden="1" x14ac:dyDescent="0.2">
      <c r="A1812" t="str">
        <f t="shared" si="32"/>
        <v/>
      </c>
    </row>
    <row r="1813" spans="1:1" hidden="1" x14ac:dyDescent="0.2">
      <c r="A1813" t="str">
        <f t="shared" si="32"/>
        <v/>
      </c>
    </row>
    <row r="1814" spans="1:1" hidden="1" x14ac:dyDescent="0.2">
      <c r="A1814" t="str">
        <f t="shared" si="32"/>
        <v/>
      </c>
    </row>
    <row r="1815" spans="1:1" hidden="1" x14ac:dyDescent="0.2">
      <c r="A1815" t="str">
        <f t="shared" si="32"/>
        <v/>
      </c>
    </row>
    <row r="1816" spans="1:1" hidden="1" x14ac:dyDescent="0.2">
      <c r="A1816" t="str">
        <f t="shared" si="32"/>
        <v/>
      </c>
    </row>
    <row r="1817" spans="1:1" hidden="1" x14ac:dyDescent="0.2">
      <c r="A1817" t="str">
        <f t="shared" si="32"/>
        <v/>
      </c>
    </row>
    <row r="1818" spans="1:1" hidden="1" x14ac:dyDescent="0.2">
      <c r="A1818" t="str">
        <f t="shared" si="32"/>
        <v/>
      </c>
    </row>
    <row r="1819" spans="1:1" hidden="1" x14ac:dyDescent="0.2">
      <c r="A1819" t="str">
        <f t="shared" si="32"/>
        <v/>
      </c>
    </row>
    <row r="1820" spans="1:1" hidden="1" x14ac:dyDescent="0.2">
      <c r="A1820" t="str">
        <f t="shared" si="32"/>
        <v/>
      </c>
    </row>
    <row r="1821" spans="1:1" hidden="1" x14ac:dyDescent="0.2">
      <c r="A1821" t="str">
        <f t="shared" si="32"/>
        <v/>
      </c>
    </row>
    <row r="1822" spans="1:1" hidden="1" x14ac:dyDescent="0.2">
      <c r="A1822" t="str">
        <f t="shared" si="32"/>
        <v/>
      </c>
    </row>
    <row r="1823" spans="1:1" hidden="1" x14ac:dyDescent="0.2">
      <c r="A1823" t="str">
        <f t="shared" si="32"/>
        <v/>
      </c>
    </row>
    <row r="1824" spans="1:1" hidden="1" x14ac:dyDescent="0.2">
      <c r="A1824" t="str">
        <f t="shared" si="32"/>
        <v/>
      </c>
    </row>
    <row r="1825" spans="1:1" hidden="1" x14ac:dyDescent="0.2">
      <c r="A1825" t="str">
        <f t="shared" si="32"/>
        <v/>
      </c>
    </row>
    <row r="1826" spans="1:1" hidden="1" x14ac:dyDescent="0.2">
      <c r="A1826" t="str">
        <f t="shared" si="32"/>
        <v/>
      </c>
    </row>
    <row r="1827" spans="1:1" hidden="1" x14ac:dyDescent="0.2">
      <c r="A1827" t="str">
        <f t="shared" si="32"/>
        <v/>
      </c>
    </row>
    <row r="1828" spans="1:1" hidden="1" x14ac:dyDescent="0.2">
      <c r="A1828" t="str">
        <f t="shared" si="32"/>
        <v/>
      </c>
    </row>
    <row r="1829" spans="1:1" hidden="1" x14ac:dyDescent="0.2">
      <c r="A1829" t="str">
        <f t="shared" si="32"/>
        <v/>
      </c>
    </row>
    <row r="1830" spans="1:1" hidden="1" x14ac:dyDescent="0.2">
      <c r="A1830" t="str">
        <f t="shared" si="32"/>
        <v/>
      </c>
    </row>
    <row r="1831" spans="1:1" hidden="1" x14ac:dyDescent="0.2">
      <c r="A1831" t="str">
        <f t="shared" si="32"/>
        <v/>
      </c>
    </row>
    <row r="1832" spans="1:1" hidden="1" x14ac:dyDescent="0.2">
      <c r="A1832" t="str">
        <f t="shared" si="32"/>
        <v/>
      </c>
    </row>
    <row r="1833" spans="1:1" hidden="1" x14ac:dyDescent="0.2">
      <c r="A1833" t="str">
        <f t="shared" si="32"/>
        <v/>
      </c>
    </row>
    <row r="1834" spans="1:1" hidden="1" x14ac:dyDescent="0.2">
      <c r="A1834" t="str">
        <f t="shared" si="32"/>
        <v/>
      </c>
    </row>
    <row r="1835" spans="1:1" hidden="1" x14ac:dyDescent="0.2">
      <c r="A1835" t="str">
        <f t="shared" si="32"/>
        <v/>
      </c>
    </row>
    <row r="1836" spans="1:1" hidden="1" x14ac:dyDescent="0.2">
      <c r="A1836" t="str">
        <f t="shared" si="32"/>
        <v/>
      </c>
    </row>
    <row r="1837" spans="1:1" hidden="1" x14ac:dyDescent="0.2">
      <c r="A1837" t="str">
        <f t="shared" si="32"/>
        <v/>
      </c>
    </row>
    <row r="1838" spans="1:1" hidden="1" x14ac:dyDescent="0.2">
      <c r="A1838" t="str">
        <f t="shared" si="32"/>
        <v/>
      </c>
    </row>
    <row r="1839" spans="1:1" hidden="1" x14ac:dyDescent="0.2">
      <c r="A1839" t="str">
        <f t="shared" si="32"/>
        <v/>
      </c>
    </row>
    <row r="1840" spans="1:1" hidden="1" x14ac:dyDescent="0.2">
      <c r="A1840" t="str">
        <f t="shared" si="32"/>
        <v/>
      </c>
    </row>
    <row r="1841" spans="1:1" hidden="1" x14ac:dyDescent="0.2">
      <c r="A1841" t="str">
        <f t="shared" si="32"/>
        <v/>
      </c>
    </row>
    <row r="1842" spans="1:1" hidden="1" x14ac:dyDescent="0.2">
      <c r="A1842" t="str">
        <f t="shared" si="32"/>
        <v/>
      </c>
    </row>
    <row r="1843" spans="1:1" hidden="1" x14ac:dyDescent="0.2">
      <c r="A1843" t="str">
        <f t="shared" si="32"/>
        <v/>
      </c>
    </row>
    <row r="1844" spans="1:1" hidden="1" x14ac:dyDescent="0.2">
      <c r="A1844" t="str">
        <f t="shared" si="32"/>
        <v/>
      </c>
    </row>
    <row r="1845" spans="1:1" hidden="1" x14ac:dyDescent="0.2">
      <c r="A1845" t="str">
        <f t="shared" si="32"/>
        <v/>
      </c>
    </row>
    <row r="1846" spans="1:1" hidden="1" x14ac:dyDescent="0.2">
      <c r="A1846" t="str">
        <f t="shared" si="32"/>
        <v/>
      </c>
    </row>
    <row r="1847" spans="1:1" hidden="1" x14ac:dyDescent="0.2">
      <c r="A1847" t="str">
        <f t="shared" si="32"/>
        <v/>
      </c>
    </row>
    <row r="1848" spans="1:1" hidden="1" x14ac:dyDescent="0.2">
      <c r="A1848" t="str">
        <f t="shared" si="32"/>
        <v/>
      </c>
    </row>
    <row r="1849" spans="1:1" hidden="1" x14ac:dyDescent="0.2">
      <c r="A1849" t="str">
        <f t="shared" si="32"/>
        <v/>
      </c>
    </row>
    <row r="1850" spans="1:1" hidden="1" x14ac:dyDescent="0.2">
      <c r="A1850" t="str">
        <f t="shared" si="32"/>
        <v/>
      </c>
    </row>
    <row r="1851" spans="1:1" hidden="1" x14ac:dyDescent="0.2">
      <c r="A1851" t="str">
        <f t="shared" si="32"/>
        <v/>
      </c>
    </row>
    <row r="1852" spans="1:1" hidden="1" x14ac:dyDescent="0.2">
      <c r="A1852" t="str">
        <f t="shared" si="32"/>
        <v/>
      </c>
    </row>
    <row r="1853" spans="1:1" hidden="1" x14ac:dyDescent="0.2">
      <c r="A1853" t="str">
        <f t="shared" si="32"/>
        <v/>
      </c>
    </row>
    <row r="1854" spans="1:1" hidden="1" x14ac:dyDescent="0.2">
      <c r="A1854" t="str">
        <f t="shared" si="32"/>
        <v/>
      </c>
    </row>
    <row r="1855" spans="1:1" hidden="1" x14ac:dyDescent="0.2">
      <c r="A1855" t="str">
        <f t="shared" si="32"/>
        <v/>
      </c>
    </row>
    <row r="1856" spans="1:1" hidden="1" x14ac:dyDescent="0.2">
      <c r="A1856" t="str">
        <f t="shared" si="32"/>
        <v/>
      </c>
    </row>
    <row r="1857" spans="1:1" hidden="1" x14ac:dyDescent="0.2">
      <c r="A1857" t="str">
        <f t="shared" ref="A1857:A1920" si="33">B1857&amp;C1857&amp;D1857&amp;E1857&amp;F1857</f>
        <v/>
      </c>
    </row>
    <row r="1858" spans="1:1" hidden="1" x14ac:dyDescent="0.2">
      <c r="A1858" t="str">
        <f t="shared" si="33"/>
        <v/>
      </c>
    </row>
    <row r="1859" spans="1:1" hidden="1" x14ac:dyDescent="0.2">
      <c r="A1859" t="str">
        <f t="shared" si="33"/>
        <v/>
      </c>
    </row>
    <row r="1860" spans="1:1" hidden="1" x14ac:dyDescent="0.2">
      <c r="A1860" t="str">
        <f t="shared" si="33"/>
        <v/>
      </c>
    </row>
    <row r="1861" spans="1:1" hidden="1" x14ac:dyDescent="0.2">
      <c r="A1861" t="str">
        <f t="shared" si="33"/>
        <v/>
      </c>
    </row>
    <row r="1862" spans="1:1" hidden="1" x14ac:dyDescent="0.2">
      <c r="A1862" t="str">
        <f t="shared" si="33"/>
        <v/>
      </c>
    </row>
    <row r="1863" spans="1:1" hidden="1" x14ac:dyDescent="0.2">
      <c r="A1863" t="str">
        <f t="shared" si="33"/>
        <v/>
      </c>
    </row>
    <row r="1864" spans="1:1" hidden="1" x14ac:dyDescent="0.2">
      <c r="A1864" t="str">
        <f t="shared" si="33"/>
        <v/>
      </c>
    </row>
    <row r="1865" spans="1:1" hidden="1" x14ac:dyDescent="0.2">
      <c r="A1865" t="str">
        <f t="shared" si="33"/>
        <v/>
      </c>
    </row>
    <row r="1866" spans="1:1" hidden="1" x14ac:dyDescent="0.2">
      <c r="A1866" t="str">
        <f t="shared" si="33"/>
        <v/>
      </c>
    </row>
    <row r="1867" spans="1:1" hidden="1" x14ac:dyDescent="0.2">
      <c r="A1867" t="str">
        <f t="shared" si="33"/>
        <v/>
      </c>
    </row>
    <row r="1868" spans="1:1" hidden="1" x14ac:dyDescent="0.2">
      <c r="A1868" t="str">
        <f t="shared" si="33"/>
        <v/>
      </c>
    </row>
    <row r="1869" spans="1:1" hidden="1" x14ac:dyDescent="0.2">
      <c r="A1869" t="str">
        <f t="shared" si="33"/>
        <v/>
      </c>
    </row>
    <row r="1870" spans="1:1" hidden="1" x14ac:dyDescent="0.2">
      <c r="A1870" t="str">
        <f t="shared" si="33"/>
        <v/>
      </c>
    </row>
    <row r="1871" spans="1:1" hidden="1" x14ac:dyDescent="0.2">
      <c r="A1871" t="str">
        <f t="shared" si="33"/>
        <v/>
      </c>
    </row>
    <row r="1872" spans="1:1" hidden="1" x14ac:dyDescent="0.2">
      <c r="A1872" t="str">
        <f t="shared" si="33"/>
        <v/>
      </c>
    </row>
    <row r="1873" spans="1:1" hidden="1" x14ac:dyDescent="0.2">
      <c r="A1873" t="str">
        <f t="shared" si="33"/>
        <v/>
      </c>
    </row>
    <row r="1874" spans="1:1" hidden="1" x14ac:dyDescent="0.2">
      <c r="A1874" t="str">
        <f t="shared" si="33"/>
        <v/>
      </c>
    </row>
    <row r="1875" spans="1:1" hidden="1" x14ac:dyDescent="0.2">
      <c r="A1875" t="str">
        <f t="shared" si="33"/>
        <v/>
      </c>
    </row>
    <row r="1876" spans="1:1" hidden="1" x14ac:dyDescent="0.2">
      <c r="A1876" t="str">
        <f t="shared" si="33"/>
        <v/>
      </c>
    </row>
    <row r="1877" spans="1:1" hidden="1" x14ac:dyDescent="0.2">
      <c r="A1877" t="str">
        <f t="shared" si="33"/>
        <v/>
      </c>
    </row>
    <row r="1878" spans="1:1" hidden="1" x14ac:dyDescent="0.2">
      <c r="A1878" t="str">
        <f t="shared" si="33"/>
        <v/>
      </c>
    </row>
    <row r="1879" spans="1:1" hidden="1" x14ac:dyDescent="0.2">
      <c r="A1879" t="str">
        <f t="shared" si="33"/>
        <v/>
      </c>
    </row>
    <row r="1880" spans="1:1" hidden="1" x14ac:dyDescent="0.2">
      <c r="A1880" t="str">
        <f t="shared" si="33"/>
        <v/>
      </c>
    </row>
    <row r="1881" spans="1:1" hidden="1" x14ac:dyDescent="0.2">
      <c r="A1881" t="str">
        <f t="shared" si="33"/>
        <v/>
      </c>
    </row>
    <row r="1882" spans="1:1" hidden="1" x14ac:dyDescent="0.2">
      <c r="A1882" t="str">
        <f t="shared" si="33"/>
        <v/>
      </c>
    </row>
    <row r="1883" spans="1:1" hidden="1" x14ac:dyDescent="0.2">
      <c r="A1883" t="str">
        <f t="shared" si="33"/>
        <v/>
      </c>
    </row>
    <row r="1884" spans="1:1" hidden="1" x14ac:dyDescent="0.2">
      <c r="A1884" t="str">
        <f t="shared" si="33"/>
        <v/>
      </c>
    </row>
    <row r="1885" spans="1:1" hidden="1" x14ac:dyDescent="0.2">
      <c r="A1885" t="str">
        <f t="shared" si="33"/>
        <v/>
      </c>
    </row>
    <row r="1886" spans="1:1" hidden="1" x14ac:dyDescent="0.2">
      <c r="A1886" t="str">
        <f t="shared" si="33"/>
        <v/>
      </c>
    </row>
    <row r="1887" spans="1:1" hidden="1" x14ac:dyDescent="0.2">
      <c r="A1887" t="str">
        <f t="shared" si="33"/>
        <v/>
      </c>
    </row>
    <row r="1888" spans="1:1" hidden="1" x14ac:dyDescent="0.2">
      <c r="A1888" t="str">
        <f t="shared" si="33"/>
        <v/>
      </c>
    </row>
    <row r="1889" spans="1:1" hidden="1" x14ac:dyDescent="0.2">
      <c r="A1889" t="str">
        <f t="shared" si="33"/>
        <v/>
      </c>
    </row>
    <row r="1890" spans="1:1" hidden="1" x14ac:dyDescent="0.2">
      <c r="A1890" t="str">
        <f t="shared" si="33"/>
        <v/>
      </c>
    </row>
    <row r="1891" spans="1:1" hidden="1" x14ac:dyDescent="0.2">
      <c r="A1891" t="str">
        <f t="shared" si="33"/>
        <v/>
      </c>
    </row>
    <row r="1892" spans="1:1" hidden="1" x14ac:dyDescent="0.2">
      <c r="A1892" t="str">
        <f t="shared" si="33"/>
        <v/>
      </c>
    </row>
    <row r="1893" spans="1:1" hidden="1" x14ac:dyDescent="0.2">
      <c r="A1893" t="str">
        <f t="shared" si="33"/>
        <v/>
      </c>
    </row>
    <row r="1894" spans="1:1" hidden="1" x14ac:dyDescent="0.2">
      <c r="A1894" t="str">
        <f t="shared" si="33"/>
        <v/>
      </c>
    </row>
    <row r="1895" spans="1:1" hidden="1" x14ac:dyDescent="0.2">
      <c r="A1895" t="str">
        <f t="shared" si="33"/>
        <v/>
      </c>
    </row>
    <row r="1896" spans="1:1" hidden="1" x14ac:dyDescent="0.2">
      <c r="A1896" t="str">
        <f t="shared" si="33"/>
        <v/>
      </c>
    </row>
    <row r="1897" spans="1:1" hidden="1" x14ac:dyDescent="0.2">
      <c r="A1897" t="str">
        <f t="shared" si="33"/>
        <v/>
      </c>
    </row>
    <row r="1898" spans="1:1" hidden="1" x14ac:dyDescent="0.2">
      <c r="A1898" t="str">
        <f t="shared" si="33"/>
        <v/>
      </c>
    </row>
    <row r="1899" spans="1:1" hidden="1" x14ac:dyDescent="0.2">
      <c r="A1899" t="str">
        <f t="shared" si="33"/>
        <v/>
      </c>
    </row>
    <row r="1900" spans="1:1" hidden="1" x14ac:dyDescent="0.2">
      <c r="A1900" t="str">
        <f t="shared" si="33"/>
        <v/>
      </c>
    </row>
    <row r="1901" spans="1:1" hidden="1" x14ac:dyDescent="0.2">
      <c r="A1901" t="str">
        <f t="shared" si="33"/>
        <v/>
      </c>
    </row>
    <row r="1902" spans="1:1" hidden="1" x14ac:dyDescent="0.2">
      <c r="A1902" t="str">
        <f t="shared" si="33"/>
        <v/>
      </c>
    </row>
    <row r="1903" spans="1:1" hidden="1" x14ac:dyDescent="0.2">
      <c r="A1903" t="str">
        <f t="shared" si="33"/>
        <v/>
      </c>
    </row>
    <row r="1904" spans="1:1" hidden="1" x14ac:dyDescent="0.2">
      <c r="A1904" t="str">
        <f t="shared" si="33"/>
        <v/>
      </c>
    </row>
    <row r="1905" spans="1:1" hidden="1" x14ac:dyDescent="0.2">
      <c r="A1905" t="str">
        <f t="shared" si="33"/>
        <v/>
      </c>
    </row>
    <row r="1906" spans="1:1" hidden="1" x14ac:dyDescent="0.2">
      <c r="A1906" t="str">
        <f t="shared" si="33"/>
        <v/>
      </c>
    </row>
    <row r="1907" spans="1:1" hidden="1" x14ac:dyDescent="0.2">
      <c r="A1907" t="str">
        <f t="shared" si="33"/>
        <v/>
      </c>
    </row>
    <row r="1908" spans="1:1" hidden="1" x14ac:dyDescent="0.2">
      <c r="A1908" t="str">
        <f t="shared" si="33"/>
        <v/>
      </c>
    </row>
    <row r="1909" spans="1:1" hidden="1" x14ac:dyDescent="0.2">
      <c r="A1909" t="str">
        <f t="shared" si="33"/>
        <v/>
      </c>
    </row>
    <row r="1910" spans="1:1" hidden="1" x14ac:dyDescent="0.2">
      <c r="A1910" t="str">
        <f t="shared" si="33"/>
        <v/>
      </c>
    </row>
    <row r="1911" spans="1:1" hidden="1" x14ac:dyDescent="0.2">
      <c r="A1911" t="str">
        <f t="shared" si="33"/>
        <v/>
      </c>
    </row>
    <row r="1912" spans="1:1" hidden="1" x14ac:dyDescent="0.2">
      <c r="A1912" t="str">
        <f t="shared" si="33"/>
        <v/>
      </c>
    </row>
    <row r="1913" spans="1:1" hidden="1" x14ac:dyDescent="0.2">
      <c r="A1913" t="str">
        <f t="shared" si="33"/>
        <v/>
      </c>
    </row>
    <row r="1914" spans="1:1" hidden="1" x14ac:dyDescent="0.2">
      <c r="A1914" t="str">
        <f t="shared" si="33"/>
        <v/>
      </c>
    </row>
    <row r="1915" spans="1:1" hidden="1" x14ac:dyDescent="0.2">
      <c r="A1915" t="str">
        <f t="shared" si="33"/>
        <v/>
      </c>
    </row>
    <row r="1916" spans="1:1" hidden="1" x14ac:dyDescent="0.2">
      <c r="A1916" t="str">
        <f t="shared" si="33"/>
        <v/>
      </c>
    </row>
    <row r="1917" spans="1:1" hidden="1" x14ac:dyDescent="0.2">
      <c r="A1917" t="str">
        <f t="shared" si="33"/>
        <v/>
      </c>
    </row>
    <row r="1918" spans="1:1" hidden="1" x14ac:dyDescent="0.2">
      <c r="A1918" t="str">
        <f t="shared" si="33"/>
        <v/>
      </c>
    </row>
    <row r="1919" spans="1:1" hidden="1" x14ac:dyDescent="0.2">
      <c r="A1919" t="str">
        <f t="shared" si="33"/>
        <v/>
      </c>
    </row>
    <row r="1920" spans="1:1" hidden="1" x14ac:dyDescent="0.2">
      <c r="A1920" t="str">
        <f t="shared" si="33"/>
        <v/>
      </c>
    </row>
    <row r="1921" spans="1:1" hidden="1" x14ac:dyDescent="0.2">
      <c r="A1921" t="str">
        <f t="shared" ref="A1921:A1984" si="34">B1921&amp;C1921&amp;D1921&amp;E1921&amp;F1921</f>
        <v/>
      </c>
    </row>
    <row r="1922" spans="1:1" hidden="1" x14ac:dyDescent="0.2">
      <c r="A1922" t="str">
        <f t="shared" si="34"/>
        <v/>
      </c>
    </row>
    <row r="1923" spans="1:1" hidden="1" x14ac:dyDescent="0.2">
      <c r="A1923" t="str">
        <f t="shared" si="34"/>
        <v/>
      </c>
    </row>
    <row r="1924" spans="1:1" hidden="1" x14ac:dyDescent="0.2">
      <c r="A1924" t="str">
        <f t="shared" si="34"/>
        <v/>
      </c>
    </row>
    <row r="1925" spans="1:1" hidden="1" x14ac:dyDescent="0.2">
      <c r="A1925" t="str">
        <f t="shared" si="34"/>
        <v/>
      </c>
    </row>
    <row r="1926" spans="1:1" hidden="1" x14ac:dyDescent="0.2">
      <c r="A1926" t="str">
        <f t="shared" si="34"/>
        <v/>
      </c>
    </row>
    <row r="1927" spans="1:1" hidden="1" x14ac:dyDescent="0.2">
      <c r="A1927" t="str">
        <f t="shared" si="34"/>
        <v/>
      </c>
    </row>
    <row r="1928" spans="1:1" hidden="1" x14ac:dyDescent="0.2">
      <c r="A1928" t="str">
        <f t="shared" si="34"/>
        <v/>
      </c>
    </row>
    <row r="1929" spans="1:1" hidden="1" x14ac:dyDescent="0.2">
      <c r="A1929" t="str">
        <f t="shared" si="34"/>
        <v/>
      </c>
    </row>
    <row r="1930" spans="1:1" hidden="1" x14ac:dyDescent="0.2">
      <c r="A1930" t="str">
        <f t="shared" si="34"/>
        <v/>
      </c>
    </row>
    <row r="1931" spans="1:1" hidden="1" x14ac:dyDescent="0.2">
      <c r="A1931" t="str">
        <f t="shared" si="34"/>
        <v/>
      </c>
    </row>
    <row r="1932" spans="1:1" hidden="1" x14ac:dyDescent="0.2">
      <c r="A1932" t="str">
        <f t="shared" si="34"/>
        <v/>
      </c>
    </row>
    <row r="1933" spans="1:1" hidden="1" x14ac:dyDescent="0.2">
      <c r="A1933" t="str">
        <f t="shared" si="34"/>
        <v/>
      </c>
    </row>
    <row r="1934" spans="1:1" hidden="1" x14ac:dyDescent="0.2">
      <c r="A1934" t="str">
        <f t="shared" si="34"/>
        <v/>
      </c>
    </row>
    <row r="1935" spans="1:1" hidden="1" x14ac:dyDescent="0.2">
      <c r="A1935" t="str">
        <f t="shared" si="34"/>
        <v/>
      </c>
    </row>
    <row r="1936" spans="1:1" hidden="1" x14ac:dyDescent="0.2">
      <c r="A1936" t="str">
        <f t="shared" si="34"/>
        <v/>
      </c>
    </row>
    <row r="1937" spans="1:1" hidden="1" x14ac:dyDescent="0.2">
      <c r="A1937" t="str">
        <f t="shared" si="34"/>
        <v/>
      </c>
    </row>
    <row r="1938" spans="1:1" hidden="1" x14ac:dyDescent="0.2">
      <c r="A1938" t="str">
        <f t="shared" si="34"/>
        <v/>
      </c>
    </row>
    <row r="1939" spans="1:1" hidden="1" x14ac:dyDescent="0.2">
      <c r="A1939" t="str">
        <f t="shared" si="34"/>
        <v/>
      </c>
    </row>
    <row r="1940" spans="1:1" hidden="1" x14ac:dyDescent="0.2">
      <c r="A1940" t="str">
        <f t="shared" si="34"/>
        <v/>
      </c>
    </row>
    <row r="1941" spans="1:1" hidden="1" x14ac:dyDescent="0.2">
      <c r="A1941" t="str">
        <f t="shared" si="34"/>
        <v/>
      </c>
    </row>
    <row r="1942" spans="1:1" hidden="1" x14ac:dyDescent="0.2">
      <c r="A1942" t="str">
        <f t="shared" si="34"/>
        <v/>
      </c>
    </row>
    <row r="1943" spans="1:1" hidden="1" x14ac:dyDescent="0.2">
      <c r="A1943" t="str">
        <f t="shared" si="34"/>
        <v/>
      </c>
    </row>
    <row r="1944" spans="1:1" hidden="1" x14ac:dyDescent="0.2">
      <c r="A1944" t="str">
        <f t="shared" si="34"/>
        <v/>
      </c>
    </row>
    <row r="1945" spans="1:1" hidden="1" x14ac:dyDescent="0.2">
      <c r="A1945" t="str">
        <f t="shared" si="34"/>
        <v/>
      </c>
    </row>
    <row r="1946" spans="1:1" hidden="1" x14ac:dyDescent="0.2">
      <c r="A1946" t="str">
        <f t="shared" si="34"/>
        <v/>
      </c>
    </row>
    <row r="1947" spans="1:1" hidden="1" x14ac:dyDescent="0.2">
      <c r="A1947" t="str">
        <f t="shared" si="34"/>
        <v/>
      </c>
    </row>
    <row r="1948" spans="1:1" hidden="1" x14ac:dyDescent="0.2">
      <c r="A1948" t="str">
        <f t="shared" si="34"/>
        <v/>
      </c>
    </row>
    <row r="1949" spans="1:1" hidden="1" x14ac:dyDescent="0.2">
      <c r="A1949" t="str">
        <f t="shared" si="34"/>
        <v/>
      </c>
    </row>
    <row r="1950" spans="1:1" hidden="1" x14ac:dyDescent="0.2">
      <c r="A1950" t="str">
        <f t="shared" si="34"/>
        <v/>
      </c>
    </row>
    <row r="1951" spans="1:1" hidden="1" x14ac:dyDescent="0.2">
      <c r="A1951" t="str">
        <f t="shared" si="34"/>
        <v/>
      </c>
    </row>
    <row r="1952" spans="1:1" hidden="1" x14ac:dyDescent="0.2">
      <c r="A1952" t="str">
        <f t="shared" si="34"/>
        <v/>
      </c>
    </row>
    <row r="1953" spans="1:7" hidden="1" x14ac:dyDescent="0.2">
      <c r="A1953" t="str">
        <f t="shared" si="34"/>
        <v/>
      </c>
    </row>
    <row r="1954" spans="1:7" hidden="1" x14ac:dyDescent="0.2">
      <c r="A1954" t="str">
        <f t="shared" si="34"/>
        <v/>
      </c>
    </row>
    <row r="1955" spans="1:7" hidden="1" x14ac:dyDescent="0.2">
      <c r="A1955" t="str">
        <f t="shared" si="34"/>
        <v/>
      </c>
    </row>
    <row r="1956" spans="1:7" hidden="1" x14ac:dyDescent="0.2">
      <c r="A1956" t="str">
        <f t="shared" si="34"/>
        <v/>
      </c>
    </row>
    <row r="1957" spans="1:7" hidden="1" x14ac:dyDescent="0.2">
      <c r="A1957" t="str">
        <f t="shared" si="34"/>
        <v/>
      </c>
    </row>
    <row r="1958" spans="1:7" hidden="1" x14ac:dyDescent="0.2">
      <c r="A1958" t="str">
        <f t="shared" si="34"/>
        <v/>
      </c>
    </row>
    <row r="1959" spans="1:7" hidden="1" x14ac:dyDescent="0.2">
      <c r="A1959" t="str">
        <f t="shared" si="34"/>
        <v/>
      </c>
    </row>
    <row r="1960" spans="1:7" hidden="1" x14ac:dyDescent="0.2">
      <c r="A1960" t="str">
        <f t="shared" si="34"/>
        <v/>
      </c>
    </row>
    <row r="1961" spans="1:7" hidden="1" x14ac:dyDescent="0.2">
      <c r="A1961" t="str">
        <f t="shared" si="34"/>
        <v/>
      </c>
    </row>
    <row r="1962" spans="1:7" hidden="1" x14ac:dyDescent="0.2">
      <c r="A1962" t="str">
        <f t="shared" si="34"/>
        <v/>
      </c>
    </row>
    <row r="1963" spans="1:7" hidden="1" x14ac:dyDescent="0.2">
      <c r="A1963" t="str">
        <f t="shared" si="34"/>
        <v/>
      </c>
    </row>
    <row r="1964" spans="1:7" hidden="1" x14ac:dyDescent="0.2">
      <c r="A1964" t="str">
        <f t="shared" si="34"/>
        <v/>
      </c>
    </row>
    <row r="1965" spans="1:7" hidden="1" x14ac:dyDescent="0.2">
      <c r="A1965" t="str">
        <f t="shared" si="34"/>
        <v/>
      </c>
    </row>
    <row r="1966" spans="1:7" hidden="1" x14ac:dyDescent="0.2">
      <c r="A1966" t="str">
        <f t="shared" si="34"/>
        <v/>
      </c>
    </row>
    <row r="1967" spans="1:7" hidden="1" x14ac:dyDescent="0.2">
      <c r="A1967" t="str">
        <f t="shared" si="34"/>
        <v>SCM TVRegraDroolsNSimples</v>
      </c>
      <c r="B1967" s="229" t="s">
        <v>237</v>
      </c>
      <c r="C1967" s="229" t="s">
        <v>218</v>
      </c>
      <c r="D1967" s="229" t="s">
        <v>24</v>
      </c>
      <c r="E1967" s="229" t="s">
        <v>26</v>
      </c>
      <c r="F1967" s="229"/>
      <c r="G1967">
        <v>0</v>
      </c>
    </row>
    <row r="1968" spans="1:7" hidden="1" x14ac:dyDescent="0.2">
      <c r="A1968" t="str">
        <f t="shared" si="34"/>
        <v>SCM TVRegraDroolsNMédio</v>
      </c>
      <c r="B1968" s="229" t="s">
        <v>237</v>
      </c>
      <c r="C1968" s="229" t="s">
        <v>218</v>
      </c>
      <c r="D1968" s="229" t="s">
        <v>24</v>
      </c>
      <c r="E1968" s="229" t="s">
        <v>75</v>
      </c>
      <c r="F1968" s="229"/>
      <c r="G1968">
        <v>0</v>
      </c>
    </row>
    <row r="1969" spans="1:7" hidden="1" x14ac:dyDescent="0.2">
      <c r="A1969" t="str">
        <f t="shared" si="34"/>
        <v>SCM TVRegraDroolsNComplexo</v>
      </c>
      <c r="B1969" s="229" t="s">
        <v>237</v>
      </c>
      <c r="C1969" s="229" t="s">
        <v>218</v>
      </c>
      <c r="D1969" s="229" t="s">
        <v>24</v>
      </c>
      <c r="E1969" s="229" t="s">
        <v>76</v>
      </c>
      <c r="F1969" s="229"/>
      <c r="G1969">
        <v>0</v>
      </c>
    </row>
    <row r="1970" spans="1:7" hidden="1" x14ac:dyDescent="0.2">
      <c r="A1970" t="str">
        <f t="shared" si="34"/>
        <v>SCM TVRegraDroolsASimplesSimples</v>
      </c>
      <c r="B1970" s="229" t="s">
        <v>237</v>
      </c>
      <c r="C1970" s="229" t="s">
        <v>218</v>
      </c>
      <c r="D1970" s="229" t="s">
        <v>25</v>
      </c>
      <c r="E1970" s="229" t="s">
        <v>26</v>
      </c>
      <c r="F1970" s="229" t="s">
        <v>26</v>
      </c>
      <c r="G1970">
        <v>1</v>
      </c>
    </row>
    <row r="1971" spans="1:7" hidden="1" x14ac:dyDescent="0.2">
      <c r="A1971" t="str">
        <f t="shared" si="34"/>
        <v>SCM TVRegraDroolsASimplesMédio</v>
      </c>
      <c r="B1971" s="229" t="s">
        <v>237</v>
      </c>
      <c r="C1971" s="229" t="s">
        <v>218</v>
      </c>
      <c r="D1971" s="229" t="s">
        <v>25</v>
      </c>
      <c r="E1971" s="229" t="s">
        <v>26</v>
      </c>
      <c r="F1971" s="229" t="s">
        <v>75</v>
      </c>
      <c r="G1971">
        <v>3</v>
      </c>
    </row>
    <row r="1972" spans="1:7" hidden="1" x14ac:dyDescent="0.2">
      <c r="A1972" t="str">
        <f t="shared" si="34"/>
        <v>SCM TVRegraDroolsASimplesComplexo</v>
      </c>
      <c r="B1972" s="229" t="s">
        <v>237</v>
      </c>
      <c r="C1972" s="229" t="s">
        <v>218</v>
      </c>
      <c r="D1972" s="229" t="s">
        <v>25</v>
      </c>
      <c r="E1972" s="229" t="s">
        <v>26</v>
      </c>
      <c r="F1972" s="229" t="s">
        <v>76</v>
      </c>
      <c r="G1972">
        <v>5</v>
      </c>
    </row>
    <row r="1973" spans="1:7" hidden="1" x14ac:dyDescent="0.2">
      <c r="A1973" t="str">
        <f t="shared" si="34"/>
        <v>SCM TVRegraDroolsAMédioSimples</v>
      </c>
      <c r="B1973" s="229" t="s">
        <v>237</v>
      </c>
      <c r="C1973" s="229" t="s">
        <v>218</v>
      </c>
      <c r="D1973" s="229" t="s">
        <v>25</v>
      </c>
      <c r="E1973" s="229" t="s">
        <v>75</v>
      </c>
      <c r="F1973" s="229" t="s">
        <v>26</v>
      </c>
      <c r="G1973">
        <v>0</v>
      </c>
    </row>
    <row r="1974" spans="1:7" hidden="1" x14ac:dyDescent="0.2">
      <c r="A1974" t="str">
        <f t="shared" si="34"/>
        <v>SCM TVRegraDroolsAMédioMédio</v>
      </c>
      <c r="B1974" s="229" t="s">
        <v>237</v>
      </c>
      <c r="C1974" s="229" t="s">
        <v>218</v>
      </c>
      <c r="D1974" s="229" t="s">
        <v>25</v>
      </c>
      <c r="E1974" s="229" t="s">
        <v>75</v>
      </c>
      <c r="F1974" s="229" t="s">
        <v>75</v>
      </c>
      <c r="G1974">
        <v>0</v>
      </c>
    </row>
    <row r="1975" spans="1:7" hidden="1" x14ac:dyDescent="0.2">
      <c r="A1975" t="str">
        <f t="shared" si="34"/>
        <v>SCM TVRegraDroolsAMédioComplexo</v>
      </c>
      <c r="B1975" s="229" t="s">
        <v>237</v>
      </c>
      <c r="C1975" s="229" t="s">
        <v>218</v>
      </c>
      <c r="D1975" s="229" t="s">
        <v>25</v>
      </c>
      <c r="E1975" s="229" t="s">
        <v>75</v>
      </c>
      <c r="F1975" s="229" t="s">
        <v>76</v>
      </c>
      <c r="G1975">
        <v>0</v>
      </c>
    </row>
    <row r="1976" spans="1:7" hidden="1" x14ac:dyDescent="0.2">
      <c r="A1976" t="str">
        <f t="shared" si="34"/>
        <v>SCM TVRegraDroolsAComplexoSimples</v>
      </c>
      <c r="B1976" s="229" t="s">
        <v>237</v>
      </c>
      <c r="C1976" s="229" t="s">
        <v>218</v>
      </c>
      <c r="D1976" s="229" t="s">
        <v>25</v>
      </c>
      <c r="E1976" s="229" t="s">
        <v>76</v>
      </c>
      <c r="F1976" s="229" t="s">
        <v>26</v>
      </c>
      <c r="G1976">
        <v>0</v>
      </c>
    </row>
    <row r="1977" spans="1:7" hidden="1" x14ac:dyDescent="0.2">
      <c r="A1977" t="str">
        <f t="shared" si="34"/>
        <v>SCM TVRegraDroolsAComplexoMédio</v>
      </c>
      <c r="B1977" s="229" t="s">
        <v>237</v>
      </c>
      <c r="C1977" s="229" t="s">
        <v>218</v>
      </c>
      <c r="D1977" s="229" t="s">
        <v>25</v>
      </c>
      <c r="E1977" s="229" t="s">
        <v>76</v>
      </c>
      <c r="F1977" s="229" t="s">
        <v>75</v>
      </c>
      <c r="G1977">
        <v>0</v>
      </c>
    </row>
    <row r="1978" spans="1:7" hidden="1" x14ac:dyDescent="0.2">
      <c r="A1978" t="str">
        <f t="shared" si="34"/>
        <v>SCM TVRegraDroolsAComplexoComplexo</v>
      </c>
      <c r="B1978" s="229" t="s">
        <v>237</v>
      </c>
      <c r="C1978" s="229" t="s">
        <v>218</v>
      </c>
      <c r="D1978" s="229" t="s">
        <v>25</v>
      </c>
      <c r="E1978" s="229" t="s">
        <v>76</v>
      </c>
      <c r="F1978" s="229" t="s">
        <v>76</v>
      </c>
      <c r="G1978">
        <v>0</v>
      </c>
    </row>
    <row r="1979" spans="1:7" hidden="1" x14ac:dyDescent="0.2">
      <c r="A1979" t="str">
        <f t="shared" si="34"/>
        <v>SCM TVJUnitNSimples</v>
      </c>
      <c r="B1979" s="229" t="s">
        <v>237</v>
      </c>
      <c r="C1979" s="229" t="s">
        <v>219</v>
      </c>
      <c r="D1979" s="229" t="s">
        <v>24</v>
      </c>
      <c r="E1979" s="229" t="s">
        <v>26</v>
      </c>
      <c r="F1979" s="229"/>
      <c r="G1979">
        <v>0</v>
      </c>
    </row>
    <row r="1980" spans="1:7" hidden="1" x14ac:dyDescent="0.2">
      <c r="A1980" t="str">
        <f t="shared" si="34"/>
        <v>SCM TVJUnitNMédio</v>
      </c>
      <c r="B1980" s="229" t="s">
        <v>237</v>
      </c>
      <c r="C1980" s="229" t="s">
        <v>219</v>
      </c>
      <c r="D1980" s="229" t="s">
        <v>24</v>
      </c>
      <c r="E1980" s="229" t="s">
        <v>75</v>
      </c>
      <c r="F1980" s="229"/>
      <c r="G1980">
        <v>0</v>
      </c>
    </row>
    <row r="1981" spans="1:7" hidden="1" x14ac:dyDescent="0.2">
      <c r="A1981" t="str">
        <f t="shared" si="34"/>
        <v>SCM TVJUnitNComplexo</v>
      </c>
      <c r="B1981" s="229" t="s">
        <v>237</v>
      </c>
      <c r="C1981" s="229" t="s">
        <v>219</v>
      </c>
      <c r="D1981" s="229" t="s">
        <v>24</v>
      </c>
      <c r="E1981" s="229" t="s">
        <v>76</v>
      </c>
      <c r="F1981" s="229"/>
      <c r="G1981">
        <v>0</v>
      </c>
    </row>
    <row r="1982" spans="1:7" hidden="1" x14ac:dyDescent="0.2">
      <c r="A1982" t="str">
        <f t="shared" si="34"/>
        <v>SCM TVJUnitASimplesSimples</v>
      </c>
      <c r="B1982" s="229" t="s">
        <v>237</v>
      </c>
      <c r="C1982" s="229" t="s">
        <v>219</v>
      </c>
      <c r="D1982" s="229" t="s">
        <v>25</v>
      </c>
      <c r="E1982" s="229" t="s">
        <v>26</v>
      </c>
      <c r="F1982" s="229" t="s">
        <v>26</v>
      </c>
      <c r="G1982">
        <v>1</v>
      </c>
    </row>
    <row r="1983" spans="1:7" hidden="1" x14ac:dyDescent="0.2">
      <c r="A1983" t="str">
        <f t="shared" si="34"/>
        <v>SCM TVJUnitASimplesMédio</v>
      </c>
      <c r="B1983" s="229" t="s">
        <v>237</v>
      </c>
      <c r="C1983" s="229" t="s">
        <v>219</v>
      </c>
      <c r="D1983" s="229" t="s">
        <v>25</v>
      </c>
      <c r="E1983" s="229" t="s">
        <v>26</v>
      </c>
      <c r="F1983" s="229" t="s">
        <v>75</v>
      </c>
      <c r="G1983">
        <v>3</v>
      </c>
    </row>
    <row r="1984" spans="1:7" hidden="1" x14ac:dyDescent="0.2">
      <c r="A1984" t="str">
        <f t="shared" si="34"/>
        <v>SCM TVJUnitASimplesComplexo</v>
      </c>
      <c r="B1984" s="229" t="s">
        <v>237</v>
      </c>
      <c r="C1984" s="229" t="s">
        <v>219</v>
      </c>
      <c r="D1984" s="229" t="s">
        <v>25</v>
      </c>
      <c r="E1984" s="229" t="s">
        <v>26</v>
      </c>
      <c r="F1984" s="229" t="s">
        <v>76</v>
      </c>
      <c r="G1984">
        <v>5</v>
      </c>
    </row>
    <row r="1985" spans="1:7" hidden="1" x14ac:dyDescent="0.2">
      <c r="A1985" t="str">
        <f t="shared" ref="A1985:A2048" si="35">B1985&amp;C1985&amp;D1985&amp;E1985&amp;F1985</f>
        <v>SCM TVJUnitAMédioSimples</v>
      </c>
      <c r="B1985" s="229" t="s">
        <v>237</v>
      </c>
      <c r="C1985" s="229" t="s">
        <v>219</v>
      </c>
      <c r="D1985" s="229" t="s">
        <v>25</v>
      </c>
      <c r="E1985" s="229" t="s">
        <v>75</v>
      </c>
      <c r="F1985" s="229" t="s">
        <v>26</v>
      </c>
      <c r="G1985">
        <v>0</v>
      </c>
    </row>
    <row r="1986" spans="1:7" hidden="1" x14ac:dyDescent="0.2">
      <c r="A1986" t="str">
        <f t="shared" si="35"/>
        <v>SCM TVJUnitAMédioMédio</v>
      </c>
      <c r="B1986" s="229" t="s">
        <v>237</v>
      </c>
      <c r="C1986" s="229" t="s">
        <v>219</v>
      </c>
      <c r="D1986" s="229" t="s">
        <v>25</v>
      </c>
      <c r="E1986" s="229" t="s">
        <v>75</v>
      </c>
      <c r="F1986" s="229" t="s">
        <v>75</v>
      </c>
      <c r="G1986">
        <v>0</v>
      </c>
    </row>
    <row r="1987" spans="1:7" hidden="1" x14ac:dyDescent="0.2">
      <c r="A1987" t="str">
        <f t="shared" si="35"/>
        <v>SCM TVJUnitAMédioComplexo</v>
      </c>
      <c r="B1987" s="229" t="s">
        <v>237</v>
      </c>
      <c r="C1987" s="229" t="s">
        <v>219</v>
      </c>
      <c r="D1987" s="229" t="s">
        <v>25</v>
      </c>
      <c r="E1987" s="229" t="s">
        <v>75</v>
      </c>
      <c r="F1987" s="229" t="s">
        <v>76</v>
      </c>
      <c r="G1987">
        <v>0</v>
      </c>
    </row>
    <row r="1988" spans="1:7" hidden="1" x14ac:dyDescent="0.2">
      <c r="A1988" t="str">
        <f t="shared" si="35"/>
        <v>SCM TVJUnitAComplexoSimples</v>
      </c>
      <c r="B1988" s="229" t="s">
        <v>237</v>
      </c>
      <c r="C1988" s="229" t="s">
        <v>219</v>
      </c>
      <c r="D1988" s="229" t="s">
        <v>25</v>
      </c>
      <c r="E1988" s="229" t="s">
        <v>76</v>
      </c>
      <c r="F1988" s="229" t="s">
        <v>26</v>
      </c>
      <c r="G1988">
        <v>0</v>
      </c>
    </row>
    <row r="1989" spans="1:7" hidden="1" x14ac:dyDescent="0.2">
      <c r="A1989" t="str">
        <f t="shared" si="35"/>
        <v>SCM TVJUnitAComplexoMédio</v>
      </c>
      <c r="B1989" s="229" t="s">
        <v>237</v>
      </c>
      <c r="C1989" s="229" t="s">
        <v>219</v>
      </c>
      <c r="D1989" s="229" t="s">
        <v>25</v>
      </c>
      <c r="E1989" s="229" t="s">
        <v>76</v>
      </c>
      <c r="F1989" s="229" t="s">
        <v>75</v>
      </c>
      <c r="G1989">
        <v>0</v>
      </c>
    </row>
    <row r="1990" spans="1:7" hidden="1" x14ac:dyDescent="0.2">
      <c r="A1990" t="str">
        <f t="shared" si="35"/>
        <v>SCM TVJUnitAComplexoComplexo</v>
      </c>
      <c r="B1990" s="229" t="s">
        <v>237</v>
      </c>
      <c r="C1990" s="229" t="s">
        <v>219</v>
      </c>
      <c r="D1990" s="229" t="s">
        <v>25</v>
      </c>
      <c r="E1990" s="229" t="s">
        <v>76</v>
      </c>
      <c r="F1990" s="229" t="s">
        <v>76</v>
      </c>
      <c r="G1990">
        <v>0</v>
      </c>
    </row>
    <row r="1991" spans="1:7" hidden="1" x14ac:dyDescent="0.2">
      <c r="A1991" t="str">
        <f t="shared" si="35"/>
        <v>SCM TVBanco de Dados (DML, DDL)NSimples</v>
      </c>
      <c r="B1991" s="229" t="s">
        <v>237</v>
      </c>
      <c r="C1991" s="229" t="s">
        <v>220</v>
      </c>
      <c r="D1991" s="229" t="s">
        <v>24</v>
      </c>
      <c r="E1991" s="229" t="s">
        <v>26</v>
      </c>
      <c r="F1991" s="229"/>
      <c r="G1991">
        <v>0</v>
      </c>
    </row>
    <row r="1992" spans="1:7" hidden="1" x14ac:dyDescent="0.2">
      <c r="A1992" t="str">
        <f t="shared" si="35"/>
        <v>SCM TVBanco de Dados (DML, DDL)NMédio</v>
      </c>
      <c r="B1992" s="229" t="s">
        <v>237</v>
      </c>
      <c r="C1992" s="229" t="s">
        <v>220</v>
      </c>
      <c r="D1992" s="229" t="s">
        <v>24</v>
      </c>
      <c r="E1992" s="229" t="s">
        <v>75</v>
      </c>
      <c r="F1992" s="229"/>
      <c r="G1992">
        <v>0</v>
      </c>
    </row>
    <row r="1993" spans="1:7" hidden="1" x14ac:dyDescent="0.2">
      <c r="A1993" t="str">
        <f t="shared" si="35"/>
        <v>SCM TVBanco de Dados (DML, DDL)NComplexo</v>
      </c>
      <c r="B1993" s="229" t="s">
        <v>237</v>
      </c>
      <c r="C1993" s="229" t="s">
        <v>220</v>
      </c>
      <c r="D1993" s="229" t="s">
        <v>24</v>
      </c>
      <c r="E1993" s="229" t="s">
        <v>76</v>
      </c>
      <c r="F1993" s="229"/>
      <c r="G1993">
        <v>0</v>
      </c>
    </row>
    <row r="1994" spans="1:7" hidden="1" x14ac:dyDescent="0.2">
      <c r="A1994" t="str">
        <f t="shared" si="35"/>
        <v>SCM TVBanco de Dados (DML, DDL)ASimplesSimples</v>
      </c>
      <c r="B1994" s="229" t="s">
        <v>237</v>
      </c>
      <c r="C1994" s="229" t="s">
        <v>220</v>
      </c>
      <c r="D1994" s="229" t="s">
        <v>25</v>
      </c>
      <c r="E1994" s="229" t="s">
        <v>26</v>
      </c>
      <c r="F1994" s="229" t="s">
        <v>26</v>
      </c>
      <c r="G1994">
        <v>0</v>
      </c>
    </row>
    <row r="1995" spans="1:7" hidden="1" x14ac:dyDescent="0.2">
      <c r="A1995" t="str">
        <f t="shared" si="35"/>
        <v>SCM TVBanco de Dados (DML, DDL)ASimplesMédio</v>
      </c>
      <c r="B1995" s="229" t="s">
        <v>237</v>
      </c>
      <c r="C1995" s="229" t="s">
        <v>220</v>
      </c>
      <c r="D1995" s="229" t="s">
        <v>25</v>
      </c>
      <c r="E1995" s="229" t="s">
        <v>26</v>
      </c>
      <c r="F1995" s="229" t="s">
        <v>75</v>
      </c>
      <c r="G1995">
        <v>0</v>
      </c>
    </row>
    <row r="1996" spans="1:7" hidden="1" x14ac:dyDescent="0.2">
      <c r="A1996" t="str">
        <f t="shared" si="35"/>
        <v>SCM TVBanco de Dados (DML, DDL)ASimplesComplexo</v>
      </c>
      <c r="B1996" s="229" t="s">
        <v>237</v>
      </c>
      <c r="C1996" s="229" t="s">
        <v>220</v>
      </c>
      <c r="D1996" s="229" t="s">
        <v>25</v>
      </c>
      <c r="E1996" s="229" t="s">
        <v>26</v>
      </c>
      <c r="F1996" s="229" t="s">
        <v>76</v>
      </c>
      <c r="G1996">
        <v>0</v>
      </c>
    </row>
    <row r="1997" spans="1:7" hidden="1" x14ac:dyDescent="0.2">
      <c r="A1997" t="str">
        <f t="shared" si="35"/>
        <v>SCM TVBanco de Dados (DML, DDL)AMédioSimples</v>
      </c>
      <c r="B1997" s="229" t="s">
        <v>237</v>
      </c>
      <c r="C1997" s="229" t="s">
        <v>220</v>
      </c>
      <c r="D1997" s="229" t="s">
        <v>25</v>
      </c>
      <c r="E1997" s="229" t="s">
        <v>75</v>
      </c>
      <c r="F1997" s="229" t="s">
        <v>26</v>
      </c>
      <c r="G1997">
        <v>0</v>
      </c>
    </row>
    <row r="1998" spans="1:7" hidden="1" x14ac:dyDescent="0.2">
      <c r="A1998" t="str">
        <f t="shared" si="35"/>
        <v>SCM TVBanco de Dados (DML, DDL)AMédioMédio</v>
      </c>
      <c r="B1998" s="229" t="s">
        <v>237</v>
      </c>
      <c r="C1998" s="229" t="s">
        <v>220</v>
      </c>
      <c r="D1998" s="229" t="s">
        <v>25</v>
      </c>
      <c r="E1998" s="229" t="s">
        <v>75</v>
      </c>
      <c r="F1998" s="229" t="s">
        <v>75</v>
      </c>
      <c r="G1998">
        <v>0</v>
      </c>
    </row>
    <row r="1999" spans="1:7" hidden="1" x14ac:dyDescent="0.2">
      <c r="A1999" t="str">
        <f t="shared" si="35"/>
        <v>SCM TVBanco de Dados (DML, DDL)AMédioComplexo</v>
      </c>
      <c r="B1999" s="229" t="s">
        <v>237</v>
      </c>
      <c r="C1999" s="229" t="s">
        <v>220</v>
      </c>
      <c r="D1999" s="229" t="s">
        <v>25</v>
      </c>
      <c r="E1999" s="229" t="s">
        <v>75</v>
      </c>
      <c r="F1999" s="229" t="s">
        <v>76</v>
      </c>
      <c r="G1999">
        <v>0</v>
      </c>
    </row>
    <row r="2000" spans="1:7" hidden="1" x14ac:dyDescent="0.2">
      <c r="A2000" t="str">
        <f t="shared" si="35"/>
        <v>SCM TVBanco de Dados (DML, DDL)AComplexoSimples</v>
      </c>
      <c r="B2000" s="229" t="s">
        <v>237</v>
      </c>
      <c r="C2000" s="229" t="s">
        <v>220</v>
      </c>
      <c r="D2000" s="229" t="s">
        <v>25</v>
      </c>
      <c r="E2000" s="229" t="s">
        <v>76</v>
      </c>
      <c r="F2000" s="229" t="s">
        <v>26</v>
      </c>
      <c r="G2000">
        <v>0</v>
      </c>
    </row>
    <row r="2001" spans="1:7" hidden="1" x14ac:dyDescent="0.2">
      <c r="A2001" t="str">
        <f t="shared" si="35"/>
        <v>SCM TVBanco de Dados (DML, DDL)AComplexoMédio</v>
      </c>
      <c r="B2001" s="229" t="s">
        <v>237</v>
      </c>
      <c r="C2001" s="229" t="s">
        <v>220</v>
      </c>
      <c r="D2001" s="229" t="s">
        <v>25</v>
      </c>
      <c r="E2001" s="229" t="s">
        <v>76</v>
      </c>
      <c r="F2001" s="229" t="s">
        <v>75</v>
      </c>
      <c r="G2001">
        <v>0</v>
      </c>
    </row>
    <row r="2002" spans="1:7" hidden="1" x14ac:dyDescent="0.2">
      <c r="A2002" t="str">
        <f t="shared" si="35"/>
        <v>SCM TVBanco de Dados (DML, DDL)AComplexoComplexo</v>
      </c>
      <c r="B2002" s="229" t="s">
        <v>237</v>
      </c>
      <c r="C2002" s="229" t="s">
        <v>220</v>
      </c>
      <c r="D2002" s="229" t="s">
        <v>25</v>
      </c>
      <c r="E2002" s="229" t="s">
        <v>76</v>
      </c>
      <c r="F2002" s="229" t="s">
        <v>76</v>
      </c>
      <c r="G2002">
        <v>0</v>
      </c>
    </row>
    <row r="2003" spans="1:7" hidden="1" x14ac:dyDescent="0.2">
      <c r="A2003" t="str">
        <f t="shared" si="35"/>
        <v>SCM TVBanco de Dados (PL/SQL)NSimples</v>
      </c>
      <c r="B2003" s="229" t="s">
        <v>237</v>
      </c>
      <c r="C2003" s="229" t="s">
        <v>203</v>
      </c>
      <c r="D2003" s="229" t="s">
        <v>24</v>
      </c>
      <c r="E2003" s="229" t="s">
        <v>26</v>
      </c>
      <c r="F2003" s="229"/>
      <c r="G2003">
        <v>0</v>
      </c>
    </row>
    <row r="2004" spans="1:7" hidden="1" x14ac:dyDescent="0.2">
      <c r="A2004" t="str">
        <f t="shared" si="35"/>
        <v>SCM TVBanco de Dados (PL/SQL)NMédio</v>
      </c>
      <c r="B2004" s="229" t="s">
        <v>237</v>
      </c>
      <c r="C2004" s="229" t="s">
        <v>203</v>
      </c>
      <c r="D2004" s="229" t="s">
        <v>24</v>
      </c>
      <c r="E2004" s="229" t="s">
        <v>75</v>
      </c>
      <c r="F2004" s="229"/>
      <c r="G2004">
        <v>0</v>
      </c>
    </row>
    <row r="2005" spans="1:7" hidden="1" x14ac:dyDescent="0.2">
      <c r="A2005" t="str">
        <f t="shared" si="35"/>
        <v>SCM TVBanco de Dados (PL/SQL)NComplexo</v>
      </c>
      <c r="B2005" s="229" t="s">
        <v>237</v>
      </c>
      <c r="C2005" s="229" t="s">
        <v>203</v>
      </c>
      <c r="D2005" s="229" t="s">
        <v>24</v>
      </c>
      <c r="E2005" s="229" t="s">
        <v>76</v>
      </c>
      <c r="F2005" s="229"/>
      <c r="G2005">
        <v>0</v>
      </c>
    </row>
    <row r="2006" spans="1:7" hidden="1" x14ac:dyDescent="0.2">
      <c r="A2006" t="str">
        <f t="shared" si="35"/>
        <v>SCM TVBanco de Dados (PL/SQL)ASimplesSimples</v>
      </c>
      <c r="B2006" s="229" t="s">
        <v>237</v>
      </c>
      <c r="C2006" s="229" t="s">
        <v>203</v>
      </c>
      <c r="D2006" s="229" t="s">
        <v>25</v>
      </c>
      <c r="E2006" s="229" t="s">
        <v>26</v>
      </c>
      <c r="F2006" s="229" t="s">
        <v>26</v>
      </c>
      <c r="G2006">
        <v>0</v>
      </c>
    </row>
    <row r="2007" spans="1:7" hidden="1" x14ac:dyDescent="0.2">
      <c r="A2007" t="str">
        <f t="shared" si="35"/>
        <v>SCM TVBanco de Dados (PL/SQL)ASimplesMédio</v>
      </c>
      <c r="B2007" s="229" t="s">
        <v>237</v>
      </c>
      <c r="C2007" s="229" t="s">
        <v>203</v>
      </c>
      <c r="D2007" s="229" t="s">
        <v>25</v>
      </c>
      <c r="E2007" s="229" t="s">
        <v>26</v>
      </c>
      <c r="F2007" s="229" t="s">
        <v>75</v>
      </c>
      <c r="G2007">
        <v>0</v>
      </c>
    </row>
    <row r="2008" spans="1:7" hidden="1" x14ac:dyDescent="0.2">
      <c r="A2008" t="str">
        <f t="shared" si="35"/>
        <v>SCM TVBanco de Dados (PL/SQL)ASimplesComplexo</v>
      </c>
      <c r="B2008" s="229" t="s">
        <v>237</v>
      </c>
      <c r="C2008" s="229" t="s">
        <v>203</v>
      </c>
      <c r="D2008" s="229" t="s">
        <v>25</v>
      </c>
      <c r="E2008" s="229" t="s">
        <v>26</v>
      </c>
      <c r="F2008" s="229" t="s">
        <v>76</v>
      </c>
      <c r="G2008">
        <v>0</v>
      </c>
    </row>
    <row r="2009" spans="1:7" hidden="1" x14ac:dyDescent="0.2">
      <c r="A2009" t="str">
        <f t="shared" si="35"/>
        <v>SCM TVBanco de Dados (PL/SQL)AMédioSimples</v>
      </c>
      <c r="B2009" s="229" t="s">
        <v>237</v>
      </c>
      <c r="C2009" s="229" t="s">
        <v>203</v>
      </c>
      <c r="D2009" s="229" t="s">
        <v>25</v>
      </c>
      <c r="E2009" s="229" t="s">
        <v>75</v>
      </c>
      <c r="F2009" s="229" t="s">
        <v>26</v>
      </c>
      <c r="G2009">
        <v>0</v>
      </c>
    </row>
    <row r="2010" spans="1:7" hidden="1" x14ac:dyDescent="0.2">
      <c r="A2010" t="str">
        <f t="shared" si="35"/>
        <v>SCM TVBanco de Dados (PL/SQL)AMédioMédio</v>
      </c>
      <c r="B2010" s="229" t="s">
        <v>237</v>
      </c>
      <c r="C2010" s="229" t="s">
        <v>203</v>
      </c>
      <c r="D2010" s="229" t="s">
        <v>25</v>
      </c>
      <c r="E2010" s="229" t="s">
        <v>75</v>
      </c>
      <c r="F2010" s="229" t="s">
        <v>75</v>
      </c>
      <c r="G2010">
        <v>0</v>
      </c>
    </row>
    <row r="2011" spans="1:7" hidden="1" x14ac:dyDescent="0.2">
      <c r="A2011" t="str">
        <f t="shared" si="35"/>
        <v>SCM TVBanco de Dados (PL/SQL)AMédioComplexo</v>
      </c>
      <c r="B2011" s="229" t="s">
        <v>237</v>
      </c>
      <c r="C2011" s="229" t="s">
        <v>203</v>
      </c>
      <c r="D2011" s="229" t="s">
        <v>25</v>
      </c>
      <c r="E2011" s="229" t="s">
        <v>75</v>
      </c>
      <c r="F2011" s="229" t="s">
        <v>76</v>
      </c>
      <c r="G2011">
        <v>0</v>
      </c>
    </row>
    <row r="2012" spans="1:7" hidden="1" x14ac:dyDescent="0.2">
      <c r="A2012" t="str">
        <f t="shared" si="35"/>
        <v>SCM TVBanco de Dados (PL/SQL)AComplexoSimples</v>
      </c>
      <c r="B2012" s="229" t="s">
        <v>237</v>
      </c>
      <c r="C2012" s="229" t="s">
        <v>203</v>
      </c>
      <c r="D2012" s="229" t="s">
        <v>25</v>
      </c>
      <c r="E2012" s="229" t="s">
        <v>76</v>
      </c>
      <c r="F2012" s="229" t="s">
        <v>26</v>
      </c>
      <c r="G2012">
        <v>0</v>
      </c>
    </row>
    <row r="2013" spans="1:7" hidden="1" x14ac:dyDescent="0.2">
      <c r="A2013" t="str">
        <f t="shared" si="35"/>
        <v>SCM TVBanco de Dados (PL/SQL)AComplexoMédio</v>
      </c>
      <c r="B2013" s="229" t="s">
        <v>237</v>
      </c>
      <c r="C2013" s="229" t="s">
        <v>203</v>
      </c>
      <c r="D2013" s="229" t="s">
        <v>25</v>
      </c>
      <c r="E2013" s="229" t="s">
        <v>76</v>
      </c>
      <c r="F2013" s="229" t="s">
        <v>75</v>
      </c>
      <c r="G2013">
        <v>0</v>
      </c>
    </row>
    <row r="2014" spans="1:7" hidden="1" x14ac:dyDescent="0.2">
      <c r="A2014" t="str">
        <f t="shared" si="35"/>
        <v>SCM TVBanco de Dados (PL/SQL)AComplexoComplexo</v>
      </c>
      <c r="B2014" s="229" t="s">
        <v>237</v>
      </c>
      <c r="C2014" s="229" t="s">
        <v>203</v>
      </c>
      <c r="D2014" s="229" t="s">
        <v>25</v>
      </c>
      <c r="E2014" s="229" t="s">
        <v>76</v>
      </c>
      <c r="F2014" s="229" t="s">
        <v>76</v>
      </c>
      <c r="G2014">
        <v>0</v>
      </c>
    </row>
    <row r="2015" spans="1:7" hidden="1" x14ac:dyDescent="0.2">
      <c r="A2015" t="str">
        <f t="shared" si="35"/>
        <v>SCM TVJAVA: Interface WebServiceNSimples</v>
      </c>
      <c r="B2015" s="229" t="s">
        <v>237</v>
      </c>
      <c r="C2015" s="229" t="s">
        <v>204</v>
      </c>
      <c r="D2015" s="229" t="s">
        <v>24</v>
      </c>
      <c r="E2015" s="229" t="s">
        <v>26</v>
      </c>
      <c r="F2015" s="229"/>
      <c r="G2015">
        <v>0</v>
      </c>
    </row>
    <row r="2016" spans="1:7" hidden="1" x14ac:dyDescent="0.2">
      <c r="A2016" t="str">
        <f t="shared" si="35"/>
        <v>SCM TVJAVA: Interface WebServiceNMédio</v>
      </c>
      <c r="B2016" s="229" t="s">
        <v>237</v>
      </c>
      <c r="C2016" s="229" t="s">
        <v>204</v>
      </c>
      <c r="D2016" s="229" t="s">
        <v>24</v>
      </c>
      <c r="E2016" s="229" t="s">
        <v>75</v>
      </c>
      <c r="F2016" s="229"/>
      <c r="G2016">
        <v>0</v>
      </c>
    </row>
    <row r="2017" spans="1:7" hidden="1" x14ac:dyDescent="0.2">
      <c r="A2017" t="str">
        <f t="shared" si="35"/>
        <v>SCM TVJAVA: Interface WebServiceNComplexo</v>
      </c>
      <c r="B2017" s="229" t="s">
        <v>237</v>
      </c>
      <c r="C2017" s="229" t="s">
        <v>204</v>
      </c>
      <c r="D2017" s="229" t="s">
        <v>24</v>
      </c>
      <c r="E2017" s="229" t="s">
        <v>76</v>
      </c>
      <c r="F2017" s="229"/>
      <c r="G2017">
        <v>0</v>
      </c>
    </row>
    <row r="2018" spans="1:7" hidden="1" x14ac:dyDescent="0.2">
      <c r="A2018" t="str">
        <f t="shared" si="35"/>
        <v>SCM TVJAVA: Interface WebServiceASimplesSimples</v>
      </c>
      <c r="B2018" s="229" t="s">
        <v>237</v>
      </c>
      <c r="C2018" s="229" t="s">
        <v>204</v>
      </c>
      <c r="D2018" s="229" t="s">
        <v>25</v>
      </c>
      <c r="E2018" s="229" t="s">
        <v>26</v>
      </c>
      <c r="F2018" s="229" t="s">
        <v>26</v>
      </c>
      <c r="G2018">
        <v>0</v>
      </c>
    </row>
    <row r="2019" spans="1:7" hidden="1" x14ac:dyDescent="0.2">
      <c r="A2019" t="str">
        <f t="shared" si="35"/>
        <v>SCM TVJAVA: Interface WebServiceASimplesMédio</v>
      </c>
      <c r="B2019" s="229" t="s">
        <v>237</v>
      </c>
      <c r="C2019" s="229" t="s">
        <v>204</v>
      </c>
      <c r="D2019" s="229" t="s">
        <v>25</v>
      </c>
      <c r="E2019" s="229" t="s">
        <v>26</v>
      </c>
      <c r="F2019" s="229" t="s">
        <v>75</v>
      </c>
      <c r="G2019">
        <v>0</v>
      </c>
    </row>
    <row r="2020" spans="1:7" hidden="1" x14ac:dyDescent="0.2">
      <c r="A2020" t="str">
        <f t="shared" si="35"/>
        <v>SCM TVJAVA: Interface WebServiceASimplesComplexo</v>
      </c>
      <c r="B2020" s="229" t="s">
        <v>237</v>
      </c>
      <c r="C2020" s="229" t="s">
        <v>204</v>
      </c>
      <c r="D2020" s="229" t="s">
        <v>25</v>
      </c>
      <c r="E2020" s="229" t="s">
        <v>26</v>
      </c>
      <c r="F2020" s="229" t="s">
        <v>76</v>
      </c>
      <c r="G2020">
        <v>0</v>
      </c>
    </row>
    <row r="2021" spans="1:7" hidden="1" x14ac:dyDescent="0.2">
      <c r="A2021" t="str">
        <f t="shared" si="35"/>
        <v>SCM TVJAVA: Interface WebServiceAMédioSimples</v>
      </c>
      <c r="B2021" s="229" t="s">
        <v>237</v>
      </c>
      <c r="C2021" s="229" t="s">
        <v>204</v>
      </c>
      <c r="D2021" s="229" t="s">
        <v>25</v>
      </c>
      <c r="E2021" s="229" t="s">
        <v>75</v>
      </c>
      <c r="F2021" s="229" t="s">
        <v>26</v>
      </c>
      <c r="G2021">
        <v>0</v>
      </c>
    </row>
    <row r="2022" spans="1:7" hidden="1" x14ac:dyDescent="0.2">
      <c r="A2022" t="str">
        <f t="shared" si="35"/>
        <v>SCM TVJAVA: Interface WebServiceAMédioMédio</v>
      </c>
      <c r="B2022" s="229" t="s">
        <v>237</v>
      </c>
      <c r="C2022" s="229" t="s">
        <v>204</v>
      </c>
      <c r="D2022" s="229" t="s">
        <v>25</v>
      </c>
      <c r="E2022" s="229" t="s">
        <v>75</v>
      </c>
      <c r="F2022" s="229" t="s">
        <v>75</v>
      </c>
      <c r="G2022">
        <v>0</v>
      </c>
    </row>
    <row r="2023" spans="1:7" hidden="1" x14ac:dyDescent="0.2">
      <c r="A2023" t="str">
        <f t="shared" si="35"/>
        <v>SCM TVJAVA: Interface WebServiceAMédioComplexo</v>
      </c>
      <c r="B2023" s="229" t="s">
        <v>237</v>
      </c>
      <c r="C2023" s="229" t="s">
        <v>204</v>
      </c>
      <c r="D2023" s="229" t="s">
        <v>25</v>
      </c>
      <c r="E2023" s="229" t="s">
        <v>75</v>
      </c>
      <c r="F2023" s="229" t="s">
        <v>76</v>
      </c>
      <c r="G2023">
        <v>0</v>
      </c>
    </row>
    <row r="2024" spans="1:7" hidden="1" x14ac:dyDescent="0.2">
      <c r="A2024" t="str">
        <f t="shared" si="35"/>
        <v>SCM TVJAVA: Interface WebServiceAComplexoSimples</v>
      </c>
      <c r="B2024" s="229" t="s">
        <v>237</v>
      </c>
      <c r="C2024" s="229" t="s">
        <v>204</v>
      </c>
      <c r="D2024" s="229" t="s">
        <v>25</v>
      </c>
      <c r="E2024" s="229" t="s">
        <v>76</v>
      </c>
      <c r="F2024" s="229" t="s">
        <v>26</v>
      </c>
      <c r="G2024">
        <v>0</v>
      </c>
    </row>
    <row r="2025" spans="1:7" hidden="1" x14ac:dyDescent="0.2">
      <c r="A2025" t="str">
        <f t="shared" si="35"/>
        <v>SCM TVJAVA: Interface WebServiceAComplexoMédio</v>
      </c>
      <c r="B2025" s="229" t="s">
        <v>237</v>
      </c>
      <c r="C2025" s="229" t="s">
        <v>204</v>
      </c>
      <c r="D2025" s="229" t="s">
        <v>25</v>
      </c>
      <c r="E2025" s="229" t="s">
        <v>76</v>
      </c>
      <c r="F2025" s="229" t="s">
        <v>75</v>
      </c>
      <c r="G2025">
        <v>0</v>
      </c>
    </row>
    <row r="2026" spans="1:7" hidden="1" x14ac:dyDescent="0.2">
      <c r="A2026" t="str">
        <f t="shared" si="35"/>
        <v>SCM TVJAVA: Interface WebServiceAComplexoComplexo</v>
      </c>
      <c r="B2026" s="229" t="s">
        <v>237</v>
      </c>
      <c r="C2026" s="229" t="s">
        <v>204</v>
      </c>
      <c r="D2026" s="229" t="s">
        <v>25</v>
      </c>
      <c r="E2026" s="229" t="s">
        <v>76</v>
      </c>
      <c r="F2026" s="229" t="s">
        <v>76</v>
      </c>
      <c r="G2026">
        <v>0</v>
      </c>
    </row>
    <row r="2027" spans="1:7" hidden="1" x14ac:dyDescent="0.2">
      <c r="A2027" t="str">
        <f t="shared" si="35"/>
        <v>SCM TVJAVA: Transformação de ObjetosNSimples</v>
      </c>
      <c r="B2027" s="229" t="s">
        <v>237</v>
      </c>
      <c r="C2027" s="229" t="s">
        <v>205</v>
      </c>
      <c r="D2027" s="229" t="s">
        <v>24</v>
      </c>
      <c r="E2027" s="229" t="s">
        <v>26</v>
      </c>
      <c r="F2027" s="229"/>
      <c r="G2027">
        <v>0</v>
      </c>
    </row>
    <row r="2028" spans="1:7" hidden="1" x14ac:dyDescent="0.2">
      <c r="A2028" t="str">
        <f t="shared" si="35"/>
        <v>SCM TVJAVA: Transformação de ObjetosNMédio</v>
      </c>
      <c r="B2028" s="229" t="s">
        <v>237</v>
      </c>
      <c r="C2028" s="229" t="s">
        <v>205</v>
      </c>
      <c r="D2028" s="229" t="s">
        <v>24</v>
      </c>
      <c r="E2028" s="229" t="s">
        <v>75</v>
      </c>
      <c r="F2028" s="229"/>
      <c r="G2028">
        <v>0</v>
      </c>
    </row>
    <row r="2029" spans="1:7" hidden="1" x14ac:dyDescent="0.2">
      <c r="A2029" t="str">
        <f t="shared" si="35"/>
        <v>SCM TVJAVA: Transformação de ObjetosNComplexo</v>
      </c>
      <c r="B2029" s="229" t="s">
        <v>237</v>
      </c>
      <c r="C2029" s="229" t="s">
        <v>205</v>
      </c>
      <c r="D2029" s="229" t="s">
        <v>24</v>
      </c>
      <c r="E2029" s="229" t="s">
        <v>76</v>
      </c>
      <c r="F2029" s="229"/>
      <c r="G2029">
        <v>0</v>
      </c>
    </row>
    <row r="2030" spans="1:7" hidden="1" x14ac:dyDescent="0.2">
      <c r="A2030" t="str">
        <f t="shared" si="35"/>
        <v>SCM TVJAVA: Transformação de ObjetosASimplesSimples</v>
      </c>
      <c r="B2030" s="229" t="s">
        <v>237</v>
      </c>
      <c r="C2030" s="229" t="s">
        <v>205</v>
      </c>
      <c r="D2030" s="229" t="s">
        <v>25</v>
      </c>
      <c r="E2030" s="229" t="s">
        <v>26</v>
      </c>
      <c r="F2030" s="229" t="s">
        <v>26</v>
      </c>
      <c r="G2030">
        <v>0</v>
      </c>
    </row>
    <row r="2031" spans="1:7" hidden="1" x14ac:dyDescent="0.2">
      <c r="A2031" t="str">
        <f t="shared" si="35"/>
        <v>SCM TVJAVA: Transformação de ObjetosASimplesMédio</v>
      </c>
      <c r="B2031" s="229" t="s">
        <v>237</v>
      </c>
      <c r="C2031" s="229" t="s">
        <v>205</v>
      </c>
      <c r="D2031" s="229" t="s">
        <v>25</v>
      </c>
      <c r="E2031" s="229" t="s">
        <v>26</v>
      </c>
      <c r="F2031" s="229" t="s">
        <v>75</v>
      </c>
      <c r="G2031">
        <v>0</v>
      </c>
    </row>
    <row r="2032" spans="1:7" hidden="1" x14ac:dyDescent="0.2">
      <c r="A2032" t="str">
        <f t="shared" si="35"/>
        <v>SCM TVJAVA: Transformação de ObjetosASimplesComplexo</v>
      </c>
      <c r="B2032" s="229" t="s">
        <v>237</v>
      </c>
      <c r="C2032" s="229" t="s">
        <v>205</v>
      </c>
      <c r="D2032" s="229" t="s">
        <v>25</v>
      </c>
      <c r="E2032" s="229" t="s">
        <v>26</v>
      </c>
      <c r="F2032" s="229" t="s">
        <v>76</v>
      </c>
      <c r="G2032">
        <v>0</v>
      </c>
    </row>
    <row r="2033" spans="1:7" hidden="1" x14ac:dyDescent="0.2">
      <c r="A2033" t="str">
        <f t="shared" si="35"/>
        <v>SCM TVJAVA: Transformação de ObjetosAMédioSimples</v>
      </c>
      <c r="B2033" s="229" t="s">
        <v>237</v>
      </c>
      <c r="C2033" s="229" t="s">
        <v>205</v>
      </c>
      <c r="D2033" s="229" t="s">
        <v>25</v>
      </c>
      <c r="E2033" s="229" t="s">
        <v>75</v>
      </c>
      <c r="F2033" s="229" t="s">
        <v>26</v>
      </c>
      <c r="G2033">
        <v>0</v>
      </c>
    </row>
    <row r="2034" spans="1:7" hidden="1" x14ac:dyDescent="0.2">
      <c r="A2034" t="str">
        <f t="shared" si="35"/>
        <v>SCM TVJAVA: Transformação de ObjetosAMédioMédio</v>
      </c>
      <c r="B2034" s="229" t="s">
        <v>237</v>
      </c>
      <c r="C2034" s="229" t="s">
        <v>205</v>
      </c>
      <c r="D2034" s="229" t="s">
        <v>25</v>
      </c>
      <c r="E2034" s="229" t="s">
        <v>75</v>
      </c>
      <c r="F2034" s="229" t="s">
        <v>75</v>
      </c>
      <c r="G2034">
        <v>0</v>
      </c>
    </row>
    <row r="2035" spans="1:7" hidden="1" x14ac:dyDescent="0.2">
      <c r="A2035" t="str">
        <f t="shared" si="35"/>
        <v>SCM TVJAVA: Transformação de ObjetosAMédioComplexo</v>
      </c>
      <c r="B2035" s="229" t="s">
        <v>237</v>
      </c>
      <c r="C2035" s="229" t="s">
        <v>205</v>
      </c>
      <c r="D2035" s="229" t="s">
        <v>25</v>
      </c>
      <c r="E2035" s="229" t="s">
        <v>75</v>
      </c>
      <c r="F2035" s="229" t="s">
        <v>76</v>
      </c>
      <c r="G2035">
        <v>0</v>
      </c>
    </row>
    <row r="2036" spans="1:7" hidden="1" x14ac:dyDescent="0.2">
      <c r="A2036" t="str">
        <f t="shared" si="35"/>
        <v>SCM TVJAVA: Transformação de ObjetosAComplexoSimples</v>
      </c>
      <c r="B2036" s="229" t="s">
        <v>237</v>
      </c>
      <c r="C2036" s="229" t="s">
        <v>205</v>
      </c>
      <c r="D2036" s="229" t="s">
        <v>25</v>
      </c>
      <c r="E2036" s="229" t="s">
        <v>76</v>
      </c>
      <c r="F2036" s="229" t="s">
        <v>26</v>
      </c>
      <c r="G2036">
        <v>0</v>
      </c>
    </row>
    <row r="2037" spans="1:7" hidden="1" x14ac:dyDescent="0.2">
      <c r="A2037" t="str">
        <f t="shared" si="35"/>
        <v>SCM TVJAVA: Transformação de ObjetosAComplexoMédio</v>
      </c>
      <c r="B2037" s="229" t="s">
        <v>237</v>
      </c>
      <c r="C2037" s="229" t="s">
        <v>205</v>
      </c>
      <c r="D2037" s="229" t="s">
        <v>25</v>
      </c>
      <c r="E2037" s="229" t="s">
        <v>76</v>
      </c>
      <c r="F2037" s="229" t="s">
        <v>75</v>
      </c>
      <c r="G2037">
        <v>0</v>
      </c>
    </row>
    <row r="2038" spans="1:7" hidden="1" x14ac:dyDescent="0.2">
      <c r="A2038" t="str">
        <f t="shared" si="35"/>
        <v>SCM TVJAVA: Transformação de ObjetosAComplexoComplexo</v>
      </c>
      <c r="B2038" s="229" t="s">
        <v>237</v>
      </c>
      <c r="C2038" s="229" t="s">
        <v>205</v>
      </c>
      <c r="D2038" s="229" t="s">
        <v>25</v>
      </c>
      <c r="E2038" s="229" t="s">
        <v>76</v>
      </c>
      <c r="F2038" s="229" t="s">
        <v>76</v>
      </c>
      <c r="G2038">
        <v>0</v>
      </c>
    </row>
    <row r="2039" spans="1:7" hidden="1" x14ac:dyDescent="0.2">
      <c r="A2039" t="str">
        <f t="shared" si="35"/>
        <v>SCM TVJAVA: Métodos de Negócio (Controller)NSimples</v>
      </c>
      <c r="B2039" s="229" t="s">
        <v>237</v>
      </c>
      <c r="C2039" s="229" t="s">
        <v>206</v>
      </c>
      <c r="D2039" s="229" t="s">
        <v>24</v>
      </c>
      <c r="E2039" s="229" t="s">
        <v>26</v>
      </c>
      <c r="F2039" s="229"/>
      <c r="G2039">
        <v>0</v>
      </c>
    </row>
    <row r="2040" spans="1:7" hidden="1" x14ac:dyDescent="0.2">
      <c r="A2040" t="str">
        <f t="shared" si="35"/>
        <v>SCM TVJAVA: Métodos de Negócio (Controller)NMédio</v>
      </c>
      <c r="B2040" s="229" t="s">
        <v>237</v>
      </c>
      <c r="C2040" s="229" t="s">
        <v>206</v>
      </c>
      <c r="D2040" s="229" t="s">
        <v>24</v>
      </c>
      <c r="E2040" s="229" t="s">
        <v>75</v>
      </c>
      <c r="F2040" s="229"/>
      <c r="G2040">
        <v>0</v>
      </c>
    </row>
    <row r="2041" spans="1:7" hidden="1" x14ac:dyDescent="0.2">
      <c r="A2041" t="str">
        <f t="shared" si="35"/>
        <v>SCM TVJAVA: Métodos de Negócio (Controller)NComplexo</v>
      </c>
      <c r="B2041" s="229" t="s">
        <v>237</v>
      </c>
      <c r="C2041" s="229" t="s">
        <v>206</v>
      </c>
      <c r="D2041" s="229" t="s">
        <v>24</v>
      </c>
      <c r="E2041" s="229" t="s">
        <v>76</v>
      </c>
      <c r="F2041" s="229"/>
      <c r="G2041">
        <v>0</v>
      </c>
    </row>
    <row r="2042" spans="1:7" hidden="1" x14ac:dyDescent="0.2">
      <c r="A2042" t="str">
        <f t="shared" si="35"/>
        <v>SCM TVJAVA: Métodos de Negócio (Controller)ASimplesSimples</v>
      </c>
      <c r="B2042" s="229" t="s">
        <v>237</v>
      </c>
      <c r="C2042" s="229" t="s">
        <v>206</v>
      </c>
      <c r="D2042" s="229" t="s">
        <v>25</v>
      </c>
      <c r="E2042" s="229" t="s">
        <v>26</v>
      </c>
      <c r="F2042" s="229" t="s">
        <v>26</v>
      </c>
      <c r="G2042">
        <v>0</v>
      </c>
    </row>
    <row r="2043" spans="1:7" hidden="1" x14ac:dyDescent="0.2">
      <c r="A2043" t="str">
        <f t="shared" si="35"/>
        <v>SCM TVJAVA: Métodos de Negócio (Controller)ASimplesMédio</v>
      </c>
      <c r="B2043" s="229" t="s">
        <v>237</v>
      </c>
      <c r="C2043" s="229" t="s">
        <v>206</v>
      </c>
      <c r="D2043" s="229" t="s">
        <v>25</v>
      </c>
      <c r="E2043" s="229" t="s">
        <v>26</v>
      </c>
      <c r="F2043" s="229" t="s">
        <v>75</v>
      </c>
      <c r="G2043">
        <v>0</v>
      </c>
    </row>
    <row r="2044" spans="1:7" hidden="1" x14ac:dyDescent="0.2">
      <c r="A2044" t="str">
        <f t="shared" si="35"/>
        <v>SCM TVJAVA: Métodos de Negócio (Controller)ASimplesComplexo</v>
      </c>
      <c r="B2044" s="229" t="s">
        <v>237</v>
      </c>
      <c r="C2044" s="229" t="s">
        <v>206</v>
      </c>
      <c r="D2044" s="229" t="s">
        <v>25</v>
      </c>
      <c r="E2044" s="229" t="s">
        <v>26</v>
      </c>
      <c r="F2044" s="229" t="s">
        <v>76</v>
      </c>
      <c r="G2044">
        <v>0</v>
      </c>
    </row>
    <row r="2045" spans="1:7" hidden="1" x14ac:dyDescent="0.2">
      <c r="A2045" t="str">
        <f t="shared" si="35"/>
        <v>SCM TVJAVA: Métodos de Negócio (Controller)AMédioSimples</v>
      </c>
      <c r="B2045" s="229" t="s">
        <v>237</v>
      </c>
      <c r="C2045" s="229" t="s">
        <v>206</v>
      </c>
      <c r="D2045" s="229" t="s">
        <v>25</v>
      </c>
      <c r="E2045" s="229" t="s">
        <v>75</v>
      </c>
      <c r="F2045" s="229" t="s">
        <v>26</v>
      </c>
      <c r="G2045">
        <v>0</v>
      </c>
    </row>
    <row r="2046" spans="1:7" hidden="1" x14ac:dyDescent="0.2">
      <c r="A2046" t="str">
        <f t="shared" si="35"/>
        <v>SCM TVJAVA: Métodos de Negócio (Controller)AMédioMédio</v>
      </c>
      <c r="B2046" s="229" t="s">
        <v>237</v>
      </c>
      <c r="C2046" s="229" t="s">
        <v>206</v>
      </c>
      <c r="D2046" s="229" t="s">
        <v>25</v>
      </c>
      <c r="E2046" s="229" t="s">
        <v>75</v>
      </c>
      <c r="F2046" s="229" t="s">
        <v>75</v>
      </c>
      <c r="G2046">
        <v>0</v>
      </c>
    </row>
    <row r="2047" spans="1:7" hidden="1" x14ac:dyDescent="0.2">
      <c r="A2047" t="str">
        <f t="shared" si="35"/>
        <v>SCM TVJAVA: Métodos de Negócio (Controller)AMédioComplexo</v>
      </c>
      <c r="B2047" s="229" t="s">
        <v>237</v>
      </c>
      <c r="C2047" s="229" t="s">
        <v>206</v>
      </c>
      <c r="D2047" s="229" t="s">
        <v>25</v>
      </c>
      <c r="E2047" s="229" t="s">
        <v>75</v>
      </c>
      <c r="F2047" s="229" t="s">
        <v>76</v>
      </c>
      <c r="G2047">
        <v>0</v>
      </c>
    </row>
    <row r="2048" spans="1:7" hidden="1" x14ac:dyDescent="0.2">
      <c r="A2048" t="str">
        <f t="shared" si="35"/>
        <v>SCM TVJAVA: Métodos de Negócio (Controller)AComplexoSimples</v>
      </c>
      <c r="B2048" s="229" t="s">
        <v>237</v>
      </c>
      <c r="C2048" s="229" t="s">
        <v>206</v>
      </c>
      <c r="D2048" s="229" t="s">
        <v>25</v>
      </c>
      <c r="E2048" s="229" t="s">
        <v>76</v>
      </c>
      <c r="F2048" s="229" t="s">
        <v>26</v>
      </c>
      <c r="G2048">
        <v>0</v>
      </c>
    </row>
    <row r="2049" spans="1:7" hidden="1" x14ac:dyDescent="0.2">
      <c r="A2049" t="str">
        <f t="shared" ref="A2049:A2112" si="36">B2049&amp;C2049&amp;D2049&amp;E2049&amp;F2049</f>
        <v>SCM TVJAVA: Métodos de Negócio (Controller)AComplexoMédio</v>
      </c>
      <c r="B2049" s="229" t="s">
        <v>237</v>
      </c>
      <c r="C2049" s="229" t="s">
        <v>206</v>
      </c>
      <c r="D2049" s="229" t="s">
        <v>25</v>
      </c>
      <c r="E2049" s="229" t="s">
        <v>76</v>
      </c>
      <c r="F2049" s="229" t="s">
        <v>75</v>
      </c>
      <c r="G2049">
        <v>0</v>
      </c>
    </row>
    <row r="2050" spans="1:7" hidden="1" x14ac:dyDescent="0.2">
      <c r="A2050" t="str">
        <f t="shared" si="36"/>
        <v>SCM TVJAVA: Métodos de Negócio (Controller)AComplexoComplexo</v>
      </c>
      <c r="B2050" s="229" t="s">
        <v>237</v>
      </c>
      <c r="C2050" s="229" t="s">
        <v>206</v>
      </c>
      <c r="D2050" s="229" t="s">
        <v>25</v>
      </c>
      <c r="E2050" s="229" t="s">
        <v>76</v>
      </c>
      <c r="F2050" s="229" t="s">
        <v>76</v>
      </c>
      <c r="G2050">
        <v>0</v>
      </c>
    </row>
    <row r="2051" spans="1:7" hidden="1" x14ac:dyDescent="0.2">
      <c r="A2051" t="str">
        <f t="shared" si="36"/>
        <v>SCM TVJAVA: EntityNSimples</v>
      </c>
      <c r="B2051" s="229" t="s">
        <v>237</v>
      </c>
      <c r="C2051" s="229" t="s">
        <v>207</v>
      </c>
      <c r="D2051" s="229" t="s">
        <v>24</v>
      </c>
      <c r="E2051" s="229" t="s">
        <v>26</v>
      </c>
      <c r="F2051" s="229"/>
      <c r="G2051">
        <v>0</v>
      </c>
    </row>
    <row r="2052" spans="1:7" hidden="1" x14ac:dyDescent="0.2">
      <c r="A2052" t="str">
        <f t="shared" si="36"/>
        <v>SCM TVJAVA: EntityNMédio</v>
      </c>
      <c r="B2052" s="229" t="s">
        <v>237</v>
      </c>
      <c r="C2052" s="229" t="s">
        <v>207</v>
      </c>
      <c r="D2052" s="229" t="s">
        <v>24</v>
      </c>
      <c r="E2052" s="229" t="s">
        <v>75</v>
      </c>
      <c r="F2052" s="229"/>
      <c r="G2052">
        <v>0</v>
      </c>
    </row>
    <row r="2053" spans="1:7" hidden="1" x14ac:dyDescent="0.2">
      <c r="A2053" t="str">
        <f t="shared" si="36"/>
        <v>SCM TVJAVA: EntityNComplexo</v>
      </c>
      <c r="B2053" s="229" t="s">
        <v>237</v>
      </c>
      <c r="C2053" s="229" t="s">
        <v>207</v>
      </c>
      <c r="D2053" s="229" t="s">
        <v>24</v>
      </c>
      <c r="E2053" s="229" t="s">
        <v>76</v>
      </c>
      <c r="F2053" s="229"/>
      <c r="G2053">
        <v>0</v>
      </c>
    </row>
    <row r="2054" spans="1:7" hidden="1" x14ac:dyDescent="0.2">
      <c r="A2054" t="str">
        <f t="shared" si="36"/>
        <v>SCM TVJAVA: EntityASimplesSimples</v>
      </c>
      <c r="B2054" s="229" t="s">
        <v>237</v>
      </c>
      <c r="C2054" s="229" t="s">
        <v>207</v>
      </c>
      <c r="D2054" s="229" t="s">
        <v>25</v>
      </c>
      <c r="E2054" s="229" t="s">
        <v>26</v>
      </c>
      <c r="F2054" s="229" t="s">
        <v>26</v>
      </c>
      <c r="G2054">
        <v>0</v>
      </c>
    </row>
    <row r="2055" spans="1:7" hidden="1" x14ac:dyDescent="0.2">
      <c r="A2055" t="str">
        <f t="shared" si="36"/>
        <v>SCM TVJAVA: EntityASimplesMédio</v>
      </c>
      <c r="B2055" s="229" t="s">
        <v>237</v>
      </c>
      <c r="C2055" s="229" t="s">
        <v>207</v>
      </c>
      <c r="D2055" s="229" t="s">
        <v>25</v>
      </c>
      <c r="E2055" s="229" t="s">
        <v>26</v>
      </c>
      <c r="F2055" s="229" t="s">
        <v>75</v>
      </c>
      <c r="G2055">
        <v>0</v>
      </c>
    </row>
    <row r="2056" spans="1:7" hidden="1" x14ac:dyDescent="0.2">
      <c r="A2056" t="str">
        <f t="shared" si="36"/>
        <v>SCM TVJAVA: EntityASimplesComplexo</v>
      </c>
      <c r="B2056" s="229" t="s">
        <v>237</v>
      </c>
      <c r="C2056" s="229" t="s">
        <v>207</v>
      </c>
      <c r="D2056" s="229" t="s">
        <v>25</v>
      </c>
      <c r="E2056" s="229" t="s">
        <v>26</v>
      </c>
      <c r="F2056" s="229" t="s">
        <v>76</v>
      </c>
      <c r="G2056">
        <v>0</v>
      </c>
    </row>
    <row r="2057" spans="1:7" hidden="1" x14ac:dyDescent="0.2">
      <c r="A2057" t="str">
        <f t="shared" si="36"/>
        <v>SCM TVJAVA: EntityAMédioSimples</v>
      </c>
      <c r="B2057" s="229" t="s">
        <v>237</v>
      </c>
      <c r="C2057" s="229" t="s">
        <v>207</v>
      </c>
      <c r="D2057" s="229" t="s">
        <v>25</v>
      </c>
      <c r="E2057" s="229" t="s">
        <v>75</v>
      </c>
      <c r="F2057" s="229" t="s">
        <v>26</v>
      </c>
      <c r="G2057">
        <v>0</v>
      </c>
    </row>
    <row r="2058" spans="1:7" hidden="1" x14ac:dyDescent="0.2">
      <c r="A2058" t="str">
        <f t="shared" si="36"/>
        <v>SCM TVJAVA: EntityAMédioMédio</v>
      </c>
      <c r="B2058" s="229" t="s">
        <v>237</v>
      </c>
      <c r="C2058" s="229" t="s">
        <v>207</v>
      </c>
      <c r="D2058" s="229" t="s">
        <v>25</v>
      </c>
      <c r="E2058" s="229" t="s">
        <v>75</v>
      </c>
      <c r="F2058" s="229" t="s">
        <v>75</v>
      </c>
      <c r="G2058">
        <v>0</v>
      </c>
    </row>
    <row r="2059" spans="1:7" hidden="1" x14ac:dyDescent="0.2">
      <c r="A2059" t="str">
        <f t="shared" si="36"/>
        <v>SCM TVJAVA: EntityAMédioComplexo</v>
      </c>
      <c r="B2059" s="229" t="s">
        <v>237</v>
      </c>
      <c r="C2059" s="229" t="s">
        <v>207</v>
      </c>
      <c r="D2059" s="229" t="s">
        <v>25</v>
      </c>
      <c r="E2059" s="229" t="s">
        <v>75</v>
      </c>
      <c r="F2059" s="229" t="s">
        <v>76</v>
      </c>
      <c r="G2059">
        <v>0</v>
      </c>
    </row>
    <row r="2060" spans="1:7" hidden="1" x14ac:dyDescent="0.2">
      <c r="A2060" t="str">
        <f t="shared" si="36"/>
        <v>SCM TVJAVA: EntityAComplexoSimples</v>
      </c>
      <c r="B2060" s="229" t="s">
        <v>237</v>
      </c>
      <c r="C2060" s="229" t="s">
        <v>207</v>
      </c>
      <c r="D2060" s="229" t="s">
        <v>25</v>
      </c>
      <c r="E2060" s="229" t="s">
        <v>76</v>
      </c>
      <c r="F2060" s="229" t="s">
        <v>26</v>
      </c>
      <c r="G2060">
        <v>0</v>
      </c>
    </row>
    <row r="2061" spans="1:7" hidden="1" x14ac:dyDescent="0.2">
      <c r="A2061" t="str">
        <f t="shared" si="36"/>
        <v>SCM TVJAVA: EntityAComplexoMédio</v>
      </c>
      <c r="B2061" s="229" t="s">
        <v>237</v>
      </c>
      <c r="C2061" s="229" t="s">
        <v>207</v>
      </c>
      <c r="D2061" s="229" t="s">
        <v>25</v>
      </c>
      <c r="E2061" s="229" t="s">
        <v>76</v>
      </c>
      <c r="F2061" s="229" t="s">
        <v>75</v>
      </c>
      <c r="G2061">
        <v>0</v>
      </c>
    </row>
    <row r="2062" spans="1:7" hidden="1" x14ac:dyDescent="0.2">
      <c r="A2062" t="str">
        <f t="shared" si="36"/>
        <v>SCM TVJAVA: EntityAComplexoComplexo</v>
      </c>
      <c r="B2062" s="229" t="s">
        <v>237</v>
      </c>
      <c r="C2062" s="229" t="s">
        <v>207</v>
      </c>
      <c r="D2062" s="229" t="s">
        <v>25</v>
      </c>
      <c r="E2062" s="229" t="s">
        <v>76</v>
      </c>
      <c r="F2062" s="229" t="s">
        <v>76</v>
      </c>
      <c r="G2062">
        <v>0</v>
      </c>
    </row>
    <row r="2063" spans="1:7" hidden="1" x14ac:dyDescent="0.2">
      <c r="A2063" t="str">
        <f t="shared" si="36"/>
        <v>SCM TVJAVA: Consulta Banco de DadosNSimples</v>
      </c>
      <c r="B2063" s="229" t="s">
        <v>237</v>
      </c>
      <c r="C2063" s="229" t="s">
        <v>208</v>
      </c>
      <c r="D2063" s="229" t="s">
        <v>24</v>
      </c>
      <c r="E2063" s="229" t="s">
        <v>26</v>
      </c>
      <c r="F2063" s="229"/>
      <c r="G2063">
        <v>0</v>
      </c>
    </row>
    <row r="2064" spans="1:7" hidden="1" x14ac:dyDescent="0.2">
      <c r="A2064" t="str">
        <f t="shared" si="36"/>
        <v>SCM TVJAVA: Consulta Banco de DadosNMédio</v>
      </c>
      <c r="B2064" s="229" t="s">
        <v>237</v>
      </c>
      <c r="C2064" s="229" t="s">
        <v>208</v>
      </c>
      <c r="D2064" s="229" t="s">
        <v>24</v>
      </c>
      <c r="E2064" s="229" t="s">
        <v>75</v>
      </c>
      <c r="F2064" s="229"/>
      <c r="G2064">
        <v>0</v>
      </c>
    </row>
    <row r="2065" spans="1:7" hidden="1" x14ac:dyDescent="0.2">
      <c r="A2065" t="str">
        <f t="shared" si="36"/>
        <v>SCM TVJAVA: Consulta Banco de DadosNComplexo</v>
      </c>
      <c r="B2065" s="229" t="s">
        <v>237</v>
      </c>
      <c r="C2065" s="229" t="s">
        <v>208</v>
      </c>
      <c r="D2065" s="229" t="s">
        <v>24</v>
      </c>
      <c r="E2065" s="229" t="s">
        <v>76</v>
      </c>
      <c r="F2065" s="229"/>
      <c r="G2065">
        <v>0</v>
      </c>
    </row>
    <row r="2066" spans="1:7" hidden="1" x14ac:dyDescent="0.2">
      <c r="A2066" t="str">
        <f t="shared" si="36"/>
        <v>SCM TVJAVA: Consulta Banco de DadosASimplesSimples</v>
      </c>
      <c r="B2066" s="229" t="s">
        <v>237</v>
      </c>
      <c r="C2066" s="229" t="s">
        <v>208</v>
      </c>
      <c r="D2066" s="229" t="s">
        <v>25</v>
      </c>
      <c r="E2066" s="229" t="s">
        <v>26</v>
      </c>
      <c r="F2066" s="229" t="s">
        <v>26</v>
      </c>
      <c r="G2066">
        <v>0</v>
      </c>
    </row>
    <row r="2067" spans="1:7" hidden="1" x14ac:dyDescent="0.2">
      <c r="A2067" t="str">
        <f t="shared" si="36"/>
        <v>SCM TVJAVA: Consulta Banco de DadosASimplesMédio</v>
      </c>
      <c r="B2067" s="229" t="s">
        <v>237</v>
      </c>
      <c r="C2067" s="229" t="s">
        <v>208</v>
      </c>
      <c r="D2067" s="229" t="s">
        <v>25</v>
      </c>
      <c r="E2067" s="229" t="s">
        <v>26</v>
      </c>
      <c r="F2067" s="229" t="s">
        <v>75</v>
      </c>
      <c r="G2067">
        <v>0</v>
      </c>
    </row>
    <row r="2068" spans="1:7" hidden="1" x14ac:dyDescent="0.2">
      <c r="A2068" t="str">
        <f t="shared" si="36"/>
        <v>SCM TVJAVA: Consulta Banco de DadosASimplesComplexo</v>
      </c>
      <c r="B2068" s="229" t="s">
        <v>237</v>
      </c>
      <c r="C2068" s="229" t="s">
        <v>208</v>
      </c>
      <c r="D2068" s="229" t="s">
        <v>25</v>
      </c>
      <c r="E2068" s="229" t="s">
        <v>26</v>
      </c>
      <c r="F2068" s="229" t="s">
        <v>76</v>
      </c>
      <c r="G2068">
        <v>0</v>
      </c>
    </row>
    <row r="2069" spans="1:7" hidden="1" x14ac:dyDescent="0.2">
      <c r="A2069" t="str">
        <f t="shared" si="36"/>
        <v>SCM TVJAVA: Consulta Banco de DadosAMédioSimples</v>
      </c>
      <c r="B2069" s="229" t="s">
        <v>237</v>
      </c>
      <c r="C2069" s="229" t="s">
        <v>208</v>
      </c>
      <c r="D2069" s="229" t="s">
        <v>25</v>
      </c>
      <c r="E2069" s="229" t="s">
        <v>75</v>
      </c>
      <c r="F2069" s="229" t="s">
        <v>26</v>
      </c>
      <c r="G2069">
        <v>0</v>
      </c>
    </row>
    <row r="2070" spans="1:7" hidden="1" x14ac:dyDescent="0.2">
      <c r="A2070" t="str">
        <f t="shared" si="36"/>
        <v>SCM TVJAVA: Consulta Banco de DadosAMédioMédio</v>
      </c>
      <c r="B2070" s="229" t="s">
        <v>237</v>
      </c>
      <c r="C2070" s="229" t="s">
        <v>208</v>
      </c>
      <c r="D2070" s="229" t="s">
        <v>25</v>
      </c>
      <c r="E2070" s="229" t="s">
        <v>75</v>
      </c>
      <c r="F2070" s="229" t="s">
        <v>75</v>
      </c>
      <c r="G2070">
        <v>0</v>
      </c>
    </row>
    <row r="2071" spans="1:7" hidden="1" x14ac:dyDescent="0.2">
      <c r="A2071" t="str">
        <f t="shared" si="36"/>
        <v>SCM TVJAVA: Consulta Banco de DadosAMédioComplexo</v>
      </c>
      <c r="B2071" s="229" t="s">
        <v>237</v>
      </c>
      <c r="C2071" s="229" t="s">
        <v>208</v>
      </c>
      <c r="D2071" s="229" t="s">
        <v>25</v>
      </c>
      <c r="E2071" s="229" t="s">
        <v>75</v>
      </c>
      <c r="F2071" s="229" t="s">
        <v>76</v>
      </c>
      <c r="G2071">
        <v>0</v>
      </c>
    </row>
    <row r="2072" spans="1:7" hidden="1" x14ac:dyDescent="0.2">
      <c r="A2072" t="str">
        <f t="shared" si="36"/>
        <v>SCM TVJAVA: Consulta Banco de DadosAComplexoSimples</v>
      </c>
      <c r="B2072" s="229" t="s">
        <v>237</v>
      </c>
      <c r="C2072" s="229" t="s">
        <v>208</v>
      </c>
      <c r="D2072" s="229" t="s">
        <v>25</v>
      </c>
      <c r="E2072" s="229" t="s">
        <v>76</v>
      </c>
      <c r="F2072" s="229" t="s">
        <v>26</v>
      </c>
      <c r="G2072">
        <v>0</v>
      </c>
    </row>
    <row r="2073" spans="1:7" hidden="1" x14ac:dyDescent="0.2">
      <c r="A2073" t="str">
        <f t="shared" si="36"/>
        <v>SCM TVJAVA: Consulta Banco de DadosAComplexoMédio</v>
      </c>
      <c r="B2073" s="229" t="s">
        <v>237</v>
      </c>
      <c r="C2073" s="229" t="s">
        <v>208</v>
      </c>
      <c r="D2073" s="229" t="s">
        <v>25</v>
      </c>
      <c r="E2073" s="229" t="s">
        <v>76</v>
      </c>
      <c r="F2073" s="229" t="s">
        <v>75</v>
      </c>
      <c r="G2073">
        <v>0</v>
      </c>
    </row>
    <row r="2074" spans="1:7" hidden="1" x14ac:dyDescent="0.2">
      <c r="A2074" t="str">
        <f t="shared" si="36"/>
        <v>SCM TVJAVA: Consulta Banco de DadosAComplexoComplexo</v>
      </c>
      <c r="B2074" s="229" t="s">
        <v>237</v>
      </c>
      <c r="C2074" s="229" t="s">
        <v>208</v>
      </c>
      <c r="D2074" s="229" t="s">
        <v>25</v>
      </c>
      <c r="E2074" s="229" t="s">
        <v>76</v>
      </c>
      <c r="F2074" s="229" t="s">
        <v>76</v>
      </c>
      <c r="G2074">
        <v>0</v>
      </c>
    </row>
    <row r="2075" spans="1:7" hidden="1" x14ac:dyDescent="0.2">
      <c r="A2075" t="str">
        <f t="shared" si="36"/>
        <v>SCM TVJAVA: Geração de StubsNSimples</v>
      </c>
      <c r="B2075" s="229" t="s">
        <v>237</v>
      </c>
      <c r="C2075" s="229" t="s">
        <v>209</v>
      </c>
      <c r="D2075" s="229" t="s">
        <v>24</v>
      </c>
      <c r="E2075" s="229" t="s">
        <v>26</v>
      </c>
      <c r="F2075" s="229"/>
      <c r="G2075">
        <v>0</v>
      </c>
    </row>
    <row r="2076" spans="1:7" hidden="1" x14ac:dyDescent="0.2">
      <c r="A2076" t="str">
        <f t="shared" si="36"/>
        <v>SCM TVJAVA: Geração de StubsNMédio</v>
      </c>
      <c r="B2076" s="229" t="s">
        <v>237</v>
      </c>
      <c r="C2076" s="229" t="s">
        <v>209</v>
      </c>
      <c r="D2076" s="229" t="s">
        <v>24</v>
      </c>
      <c r="E2076" s="229" t="s">
        <v>75</v>
      </c>
      <c r="F2076" s="229"/>
      <c r="G2076">
        <v>0</v>
      </c>
    </row>
    <row r="2077" spans="1:7" hidden="1" x14ac:dyDescent="0.2">
      <c r="A2077" t="str">
        <f t="shared" si="36"/>
        <v>SCM TVJAVA: Geração de StubsNComplexo</v>
      </c>
      <c r="B2077" s="229" t="s">
        <v>237</v>
      </c>
      <c r="C2077" s="229" t="s">
        <v>209</v>
      </c>
      <c r="D2077" s="229" t="s">
        <v>24</v>
      </c>
      <c r="E2077" s="229" t="s">
        <v>76</v>
      </c>
      <c r="F2077" s="229"/>
      <c r="G2077">
        <v>0</v>
      </c>
    </row>
    <row r="2078" spans="1:7" hidden="1" x14ac:dyDescent="0.2">
      <c r="A2078" t="str">
        <f t="shared" si="36"/>
        <v>SCM TVJAVA: Geração de StubsASimplesSimples</v>
      </c>
      <c r="B2078" s="229" t="s">
        <v>237</v>
      </c>
      <c r="C2078" s="229" t="s">
        <v>209</v>
      </c>
      <c r="D2078" s="229" t="s">
        <v>25</v>
      </c>
      <c r="E2078" s="229" t="s">
        <v>26</v>
      </c>
      <c r="F2078" s="229" t="s">
        <v>26</v>
      </c>
      <c r="G2078">
        <v>0</v>
      </c>
    </row>
    <row r="2079" spans="1:7" hidden="1" x14ac:dyDescent="0.2">
      <c r="A2079" t="str">
        <f t="shared" si="36"/>
        <v>SCM TVJAVA: Geração de StubsASimplesMédio</v>
      </c>
      <c r="B2079" s="229" t="s">
        <v>237</v>
      </c>
      <c r="C2079" s="229" t="s">
        <v>209</v>
      </c>
      <c r="D2079" s="229" t="s">
        <v>25</v>
      </c>
      <c r="E2079" s="229" t="s">
        <v>26</v>
      </c>
      <c r="F2079" s="229" t="s">
        <v>75</v>
      </c>
      <c r="G2079">
        <v>0</v>
      </c>
    </row>
    <row r="2080" spans="1:7" hidden="1" x14ac:dyDescent="0.2">
      <c r="A2080" t="str">
        <f t="shared" si="36"/>
        <v>SCM TVJAVA: Geração de StubsASimplesComplexo</v>
      </c>
      <c r="B2080" s="229" t="s">
        <v>237</v>
      </c>
      <c r="C2080" s="229" t="s">
        <v>209</v>
      </c>
      <c r="D2080" s="229" t="s">
        <v>25</v>
      </c>
      <c r="E2080" s="229" t="s">
        <v>26</v>
      </c>
      <c r="F2080" s="229" t="s">
        <v>76</v>
      </c>
      <c r="G2080">
        <v>0</v>
      </c>
    </row>
    <row r="2081" spans="1:7" hidden="1" x14ac:dyDescent="0.2">
      <c r="A2081" t="str">
        <f t="shared" si="36"/>
        <v>SCM TVJAVA: Geração de StubsAMédioSimples</v>
      </c>
      <c r="B2081" s="229" t="s">
        <v>237</v>
      </c>
      <c r="C2081" s="229" t="s">
        <v>209</v>
      </c>
      <c r="D2081" s="229" t="s">
        <v>25</v>
      </c>
      <c r="E2081" s="229" t="s">
        <v>75</v>
      </c>
      <c r="F2081" s="229" t="s">
        <v>26</v>
      </c>
      <c r="G2081">
        <v>0</v>
      </c>
    </row>
    <row r="2082" spans="1:7" hidden="1" x14ac:dyDescent="0.2">
      <c r="A2082" t="str">
        <f t="shared" si="36"/>
        <v>SCM TVJAVA: Geração de StubsAMédioMédio</v>
      </c>
      <c r="B2082" s="229" t="s">
        <v>237</v>
      </c>
      <c r="C2082" s="229" t="s">
        <v>209</v>
      </c>
      <c r="D2082" s="229" t="s">
        <v>25</v>
      </c>
      <c r="E2082" s="229" t="s">
        <v>75</v>
      </c>
      <c r="F2082" s="229" t="s">
        <v>75</v>
      </c>
      <c r="G2082">
        <v>0</v>
      </c>
    </row>
    <row r="2083" spans="1:7" hidden="1" x14ac:dyDescent="0.2">
      <c r="A2083" t="str">
        <f t="shared" si="36"/>
        <v>SCM TVJAVA: Geração de StubsAMédioComplexo</v>
      </c>
      <c r="B2083" s="229" t="s">
        <v>237</v>
      </c>
      <c r="C2083" s="229" t="s">
        <v>209</v>
      </c>
      <c r="D2083" s="229" t="s">
        <v>25</v>
      </c>
      <c r="E2083" s="229" t="s">
        <v>75</v>
      </c>
      <c r="F2083" s="229" t="s">
        <v>76</v>
      </c>
      <c r="G2083">
        <v>0</v>
      </c>
    </row>
    <row r="2084" spans="1:7" hidden="1" x14ac:dyDescent="0.2">
      <c r="A2084" t="str">
        <f t="shared" si="36"/>
        <v>SCM TVJAVA: Geração de StubsAComplexoSimples</v>
      </c>
      <c r="B2084" s="229" t="s">
        <v>237</v>
      </c>
      <c r="C2084" s="229" t="s">
        <v>209</v>
      </c>
      <c r="D2084" s="229" t="s">
        <v>25</v>
      </c>
      <c r="E2084" s="229" t="s">
        <v>76</v>
      </c>
      <c r="F2084" s="229" t="s">
        <v>26</v>
      </c>
      <c r="G2084">
        <v>0</v>
      </c>
    </row>
    <row r="2085" spans="1:7" hidden="1" x14ac:dyDescent="0.2">
      <c r="A2085" t="str">
        <f t="shared" si="36"/>
        <v>SCM TVJAVA: Geração de StubsAComplexoMédio</v>
      </c>
      <c r="B2085" s="229" t="s">
        <v>237</v>
      </c>
      <c r="C2085" s="229" t="s">
        <v>209</v>
      </c>
      <c r="D2085" s="229" t="s">
        <v>25</v>
      </c>
      <c r="E2085" s="229" t="s">
        <v>76</v>
      </c>
      <c r="F2085" s="229" t="s">
        <v>75</v>
      </c>
      <c r="G2085">
        <v>0</v>
      </c>
    </row>
    <row r="2086" spans="1:7" hidden="1" x14ac:dyDescent="0.2">
      <c r="A2086" t="str">
        <f t="shared" si="36"/>
        <v>SCM TVJAVA: Geração de StubsAComplexoComplexo</v>
      </c>
      <c r="B2086" s="229" t="s">
        <v>237</v>
      </c>
      <c r="C2086" s="229" t="s">
        <v>209</v>
      </c>
      <c r="D2086" s="229" t="s">
        <v>25</v>
      </c>
      <c r="E2086" s="229" t="s">
        <v>76</v>
      </c>
      <c r="F2086" s="229" t="s">
        <v>76</v>
      </c>
      <c r="G2086">
        <v>0</v>
      </c>
    </row>
    <row r="2087" spans="1:7" hidden="1" x14ac:dyDescent="0.2">
      <c r="A2087" t="str">
        <f t="shared" si="36"/>
        <v>SCM TVJSPNSimples</v>
      </c>
      <c r="B2087" s="229" t="s">
        <v>237</v>
      </c>
      <c r="C2087" s="229" t="s">
        <v>210</v>
      </c>
      <c r="D2087" s="229" t="s">
        <v>24</v>
      </c>
      <c r="E2087" s="229" t="s">
        <v>26</v>
      </c>
      <c r="F2087" s="229"/>
      <c r="G2087">
        <v>0</v>
      </c>
    </row>
    <row r="2088" spans="1:7" hidden="1" x14ac:dyDescent="0.2">
      <c r="A2088" t="str">
        <f t="shared" si="36"/>
        <v>SCM TVJSPNMédio</v>
      </c>
      <c r="B2088" s="229" t="s">
        <v>237</v>
      </c>
      <c r="C2088" s="229" t="s">
        <v>210</v>
      </c>
      <c r="D2088" s="229" t="s">
        <v>24</v>
      </c>
      <c r="E2088" s="229" t="s">
        <v>75</v>
      </c>
      <c r="F2088" s="229"/>
      <c r="G2088">
        <v>0</v>
      </c>
    </row>
    <row r="2089" spans="1:7" hidden="1" x14ac:dyDescent="0.2">
      <c r="A2089" t="str">
        <f t="shared" si="36"/>
        <v>SCM TVJSPNComplexo</v>
      </c>
      <c r="B2089" s="229" t="s">
        <v>237</v>
      </c>
      <c r="C2089" s="229" t="s">
        <v>210</v>
      </c>
      <c r="D2089" s="229" t="s">
        <v>24</v>
      </c>
      <c r="E2089" s="229" t="s">
        <v>76</v>
      </c>
      <c r="F2089" s="229"/>
      <c r="G2089">
        <v>0</v>
      </c>
    </row>
    <row r="2090" spans="1:7" hidden="1" x14ac:dyDescent="0.2">
      <c r="A2090" t="str">
        <f t="shared" si="36"/>
        <v>SCM TVJSPASimplesSimples</v>
      </c>
      <c r="B2090" s="229" t="s">
        <v>237</v>
      </c>
      <c r="C2090" s="229" t="s">
        <v>210</v>
      </c>
      <c r="D2090" s="229" t="s">
        <v>25</v>
      </c>
      <c r="E2090" s="229" t="s">
        <v>26</v>
      </c>
      <c r="F2090" s="229" t="s">
        <v>26</v>
      </c>
      <c r="G2090">
        <v>0</v>
      </c>
    </row>
    <row r="2091" spans="1:7" hidden="1" x14ac:dyDescent="0.2">
      <c r="A2091" t="str">
        <f t="shared" si="36"/>
        <v>SCM TVJSPASimplesMédio</v>
      </c>
      <c r="B2091" s="229" t="s">
        <v>237</v>
      </c>
      <c r="C2091" s="229" t="s">
        <v>210</v>
      </c>
      <c r="D2091" s="229" t="s">
        <v>25</v>
      </c>
      <c r="E2091" s="229" t="s">
        <v>26</v>
      </c>
      <c r="F2091" s="229" t="s">
        <v>75</v>
      </c>
      <c r="G2091">
        <v>0</v>
      </c>
    </row>
    <row r="2092" spans="1:7" hidden="1" x14ac:dyDescent="0.2">
      <c r="A2092" t="str">
        <f t="shared" si="36"/>
        <v>SCM TVJSPASimplesComplexo</v>
      </c>
      <c r="B2092" s="229" t="s">
        <v>237</v>
      </c>
      <c r="C2092" s="229" t="s">
        <v>210</v>
      </c>
      <c r="D2092" s="229" t="s">
        <v>25</v>
      </c>
      <c r="E2092" s="229" t="s">
        <v>26</v>
      </c>
      <c r="F2092" s="229" t="s">
        <v>76</v>
      </c>
      <c r="G2092">
        <v>0</v>
      </c>
    </row>
    <row r="2093" spans="1:7" hidden="1" x14ac:dyDescent="0.2">
      <c r="A2093" t="str">
        <f t="shared" si="36"/>
        <v>SCM TVJSPAMédioSimples</v>
      </c>
      <c r="B2093" s="229" t="s">
        <v>237</v>
      </c>
      <c r="C2093" s="229" t="s">
        <v>210</v>
      </c>
      <c r="D2093" s="229" t="s">
        <v>25</v>
      </c>
      <c r="E2093" s="229" t="s">
        <v>75</v>
      </c>
      <c r="F2093" s="229" t="s">
        <v>26</v>
      </c>
      <c r="G2093">
        <v>0</v>
      </c>
    </row>
    <row r="2094" spans="1:7" hidden="1" x14ac:dyDescent="0.2">
      <c r="A2094" t="str">
        <f t="shared" si="36"/>
        <v>SCM TVJSPAMédioMédio</v>
      </c>
      <c r="B2094" s="229" t="s">
        <v>237</v>
      </c>
      <c r="C2094" s="229" t="s">
        <v>210</v>
      </c>
      <c r="D2094" s="229" t="s">
        <v>25</v>
      </c>
      <c r="E2094" s="229" t="s">
        <v>75</v>
      </c>
      <c r="F2094" s="229" t="s">
        <v>75</v>
      </c>
      <c r="G2094">
        <v>0</v>
      </c>
    </row>
    <row r="2095" spans="1:7" hidden="1" x14ac:dyDescent="0.2">
      <c r="A2095" t="str">
        <f t="shared" si="36"/>
        <v>SCM TVJSPAMédioComplexo</v>
      </c>
      <c r="B2095" s="229" t="s">
        <v>237</v>
      </c>
      <c r="C2095" s="229" t="s">
        <v>210</v>
      </c>
      <c r="D2095" s="229" t="s">
        <v>25</v>
      </c>
      <c r="E2095" s="229" t="s">
        <v>75</v>
      </c>
      <c r="F2095" s="229" t="s">
        <v>76</v>
      </c>
      <c r="G2095">
        <v>0</v>
      </c>
    </row>
    <row r="2096" spans="1:7" hidden="1" x14ac:dyDescent="0.2">
      <c r="A2096" t="str">
        <f t="shared" si="36"/>
        <v>SCM TVJSPAComplexoSimples</v>
      </c>
      <c r="B2096" s="229" t="s">
        <v>237</v>
      </c>
      <c r="C2096" s="229" t="s">
        <v>210</v>
      </c>
      <c r="D2096" s="229" t="s">
        <v>25</v>
      </c>
      <c r="E2096" s="229" t="s">
        <v>76</v>
      </c>
      <c r="F2096" s="229" t="s">
        <v>26</v>
      </c>
      <c r="G2096">
        <v>0</v>
      </c>
    </row>
    <row r="2097" spans="1:7" hidden="1" x14ac:dyDescent="0.2">
      <c r="A2097" t="str">
        <f t="shared" si="36"/>
        <v>SCM TVJSPAComplexoMédio</v>
      </c>
      <c r="B2097" s="229" t="s">
        <v>237</v>
      </c>
      <c r="C2097" s="229" t="s">
        <v>210</v>
      </c>
      <c r="D2097" s="229" t="s">
        <v>25</v>
      </c>
      <c r="E2097" s="229" t="s">
        <v>76</v>
      </c>
      <c r="F2097" s="229" t="s">
        <v>75</v>
      </c>
      <c r="G2097">
        <v>0</v>
      </c>
    </row>
    <row r="2098" spans="1:7" hidden="1" x14ac:dyDescent="0.2">
      <c r="A2098" t="str">
        <f t="shared" si="36"/>
        <v>SCM TVJSPAComplexoComplexo</v>
      </c>
      <c r="B2098" s="229" t="s">
        <v>237</v>
      </c>
      <c r="C2098" s="229" t="s">
        <v>210</v>
      </c>
      <c r="D2098" s="229" t="s">
        <v>25</v>
      </c>
      <c r="E2098" s="229" t="s">
        <v>76</v>
      </c>
      <c r="F2098" s="229" t="s">
        <v>76</v>
      </c>
      <c r="G2098">
        <v>0</v>
      </c>
    </row>
    <row r="2099" spans="1:7" hidden="1" x14ac:dyDescent="0.2">
      <c r="A2099" t="str">
        <f t="shared" si="36"/>
        <v>SCM TVConfiguração Projeto/MóduloNSimples</v>
      </c>
      <c r="B2099" s="229" t="s">
        <v>237</v>
      </c>
      <c r="C2099" s="229" t="s">
        <v>221</v>
      </c>
      <c r="D2099" s="229" t="s">
        <v>24</v>
      </c>
      <c r="E2099" s="229" t="s">
        <v>26</v>
      </c>
      <c r="F2099" s="229"/>
      <c r="G2099">
        <v>0</v>
      </c>
    </row>
    <row r="2100" spans="1:7" hidden="1" x14ac:dyDescent="0.2">
      <c r="A2100" t="str">
        <f t="shared" si="36"/>
        <v>SCM TVConfiguração Projeto/MóduloNMédio</v>
      </c>
      <c r="B2100" s="229" t="s">
        <v>237</v>
      </c>
      <c r="C2100" s="229" t="s">
        <v>221</v>
      </c>
      <c r="D2100" s="229" t="s">
        <v>24</v>
      </c>
      <c r="E2100" s="229" t="s">
        <v>75</v>
      </c>
      <c r="F2100" s="229"/>
      <c r="G2100">
        <v>0</v>
      </c>
    </row>
    <row r="2101" spans="1:7" hidden="1" x14ac:dyDescent="0.2">
      <c r="A2101" t="str">
        <f t="shared" si="36"/>
        <v>SCM TVConfiguração Projeto/MóduloNComplexo</v>
      </c>
      <c r="B2101" s="229" t="s">
        <v>237</v>
      </c>
      <c r="C2101" s="229" t="s">
        <v>221</v>
      </c>
      <c r="D2101" s="229" t="s">
        <v>24</v>
      </c>
      <c r="E2101" s="229" t="s">
        <v>76</v>
      </c>
      <c r="F2101" s="229"/>
      <c r="G2101">
        <v>0</v>
      </c>
    </row>
    <row r="2102" spans="1:7" hidden="1" x14ac:dyDescent="0.2">
      <c r="A2102" t="str">
        <f t="shared" si="36"/>
        <v>SCM TVConfiguração Projeto/MóduloASimplesSimples</v>
      </c>
      <c r="B2102" s="229" t="s">
        <v>237</v>
      </c>
      <c r="C2102" s="229" t="s">
        <v>221</v>
      </c>
      <c r="D2102" s="229" t="s">
        <v>25</v>
      </c>
      <c r="E2102" s="229" t="s">
        <v>26</v>
      </c>
      <c r="F2102" s="229" t="s">
        <v>26</v>
      </c>
      <c r="G2102">
        <v>0</v>
      </c>
    </row>
    <row r="2103" spans="1:7" hidden="1" x14ac:dyDescent="0.2">
      <c r="A2103" t="str">
        <f t="shared" si="36"/>
        <v>SCM TVConfiguração Projeto/MóduloASimplesMédio</v>
      </c>
      <c r="B2103" s="229" t="s">
        <v>237</v>
      </c>
      <c r="C2103" s="229" t="s">
        <v>221</v>
      </c>
      <c r="D2103" s="229" t="s">
        <v>25</v>
      </c>
      <c r="E2103" s="229" t="s">
        <v>26</v>
      </c>
      <c r="F2103" s="229" t="s">
        <v>75</v>
      </c>
      <c r="G2103">
        <v>0</v>
      </c>
    </row>
    <row r="2104" spans="1:7" hidden="1" x14ac:dyDescent="0.2">
      <c r="A2104" t="str">
        <f t="shared" si="36"/>
        <v>SCM TVConfiguração Projeto/MóduloASimplesComplexo</v>
      </c>
      <c r="B2104" s="229" t="s">
        <v>237</v>
      </c>
      <c r="C2104" s="229" t="s">
        <v>221</v>
      </c>
      <c r="D2104" s="229" t="s">
        <v>25</v>
      </c>
      <c r="E2104" s="229" t="s">
        <v>26</v>
      </c>
      <c r="F2104" s="229" t="s">
        <v>76</v>
      </c>
      <c r="G2104">
        <v>0</v>
      </c>
    </row>
    <row r="2105" spans="1:7" hidden="1" x14ac:dyDescent="0.2">
      <c r="A2105" t="str">
        <f t="shared" si="36"/>
        <v>SCM TVConfiguração Projeto/MóduloAMédioSimples</v>
      </c>
      <c r="B2105" s="229" t="s">
        <v>237</v>
      </c>
      <c r="C2105" s="229" t="s">
        <v>221</v>
      </c>
      <c r="D2105" s="229" t="s">
        <v>25</v>
      </c>
      <c r="E2105" s="229" t="s">
        <v>75</v>
      </c>
      <c r="F2105" s="229" t="s">
        <v>26</v>
      </c>
      <c r="G2105">
        <v>0</v>
      </c>
    </row>
    <row r="2106" spans="1:7" hidden="1" x14ac:dyDescent="0.2">
      <c r="A2106" t="str">
        <f t="shared" si="36"/>
        <v>SCM TVConfiguração Projeto/MóduloAMédioMédio</v>
      </c>
      <c r="B2106" s="229" t="s">
        <v>237</v>
      </c>
      <c r="C2106" s="229" t="s">
        <v>221</v>
      </c>
      <c r="D2106" s="229" t="s">
        <v>25</v>
      </c>
      <c r="E2106" s="229" t="s">
        <v>75</v>
      </c>
      <c r="F2106" s="229" t="s">
        <v>75</v>
      </c>
      <c r="G2106">
        <v>0</v>
      </c>
    </row>
    <row r="2107" spans="1:7" hidden="1" x14ac:dyDescent="0.2">
      <c r="A2107" t="str">
        <f t="shared" si="36"/>
        <v>SCM TVConfiguração Projeto/MóduloAMédioComplexo</v>
      </c>
      <c r="B2107" s="229" t="s">
        <v>237</v>
      </c>
      <c r="C2107" s="229" t="s">
        <v>221</v>
      </c>
      <c r="D2107" s="229" t="s">
        <v>25</v>
      </c>
      <c r="E2107" s="229" t="s">
        <v>75</v>
      </c>
      <c r="F2107" s="229" t="s">
        <v>76</v>
      </c>
      <c r="G2107">
        <v>0</v>
      </c>
    </row>
    <row r="2108" spans="1:7" hidden="1" x14ac:dyDescent="0.2">
      <c r="A2108" t="str">
        <f t="shared" si="36"/>
        <v>SCM TVConfiguração Projeto/MóduloAComplexoSimples</v>
      </c>
      <c r="B2108" s="229" t="s">
        <v>237</v>
      </c>
      <c r="C2108" s="229" t="s">
        <v>221</v>
      </c>
      <c r="D2108" s="229" t="s">
        <v>25</v>
      </c>
      <c r="E2108" s="229" t="s">
        <v>76</v>
      </c>
      <c r="F2108" s="229" t="s">
        <v>26</v>
      </c>
      <c r="G2108">
        <v>0</v>
      </c>
    </row>
    <row r="2109" spans="1:7" hidden="1" x14ac:dyDescent="0.2">
      <c r="A2109" t="str">
        <f t="shared" si="36"/>
        <v>SCM TVConfiguração Projeto/MóduloAComplexoMédio</v>
      </c>
      <c r="B2109" s="229" t="s">
        <v>237</v>
      </c>
      <c r="C2109" s="229" t="s">
        <v>221</v>
      </c>
      <c r="D2109" s="229" t="s">
        <v>25</v>
      </c>
      <c r="E2109" s="229" t="s">
        <v>76</v>
      </c>
      <c r="F2109" s="229" t="s">
        <v>75</v>
      </c>
      <c r="G2109">
        <v>0</v>
      </c>
    </row>
    <row r="2110" spans="1:7" hidden="1" x14ac:dyDescent="0.2">
      <c r="A2110" t="str">
        <f t="shared" si="36"/>
        <v>SCM TVConfiguração Projeto/MóduloAComplexoComplexo</v>
      </c>
      <c r="B2110" s="229" t="s">
        <v>237</v>
      </c>
      <c r="C2110" s="229" t="s">
        <v>221</v>
      </c>
      <c r="D2110" s="229" t="s">
        <v>25</v>
      </c>
      <c r="E2110" s="229" t="s">
        <v>76</v>
      </c>
      <c r="F2110" s="229" t="s">
        <v>76</v>
      </c>
      <c r="G2110">
        <v>0</v>
      </c>
    </row>
    <row r="2111" spans="1:7" hidden="1" x14ac:dyDescent="0.2">
      <c r="A2111" t="str">
        <f t="shared" si="36"/>
        <v>ISJUnitNSimples</v>
      </c>
      <c r="B2111" s="229" t="s">
        <v>241</v>
      </c>
      <c r="C2111" s="229" t="s">
        <v>219</v>
      </c>
      <c r="D2111" s="229" t="s">
        <v>24</v>
      </c>
      <c r="E2111" s="229" t="s">
        <v>26</v>
      </c>
      <c r="F2111" s="229"/>
      <c r="G2111">
        <v>3</v>
      </c>
    </row>
    <row r="2112" spans="1:7" hidden="1" x14ac:dyDescent="0.2">
      <c r="A2112" t="str">
        <f t="shared" si="36"/>
        <v>ISJUnitNMédio</v>
      </c>
      <c r="B2112" s="229" t="s">
        <v>241</v>
      </c>
      <c r="C2112" s="229" t="s">
        <v>219</v>
      </c>
      <c r="D2112" s="229" t="s">
        <v>24</v>
      </c>
      <c r="E2112" s="229" t="s">
        <v>75</v>
      </c>
      <c r="F2112" s="229"/>
      <c r="G2112">
        <v>5</v>
      </c>
    </row>
    <row r="2113" spans="1:7" hidden="1" x14ac:dyDescent="0.2">
      <c r="A2113" t="str">
        <f t="shared" ref="A2113:A2176" si="37">B2113&amp;C2113&amp;D2113&amp;E2113&amp;F2113</f>
        <v>ISJUnitNComplexo</v>
      </c>
      <c r="B2113" s="229" t="s">
        <v>241</v>
      </c>
      <c r="C2113" s="229" t="s">
        <v>219</v>
      </c>
      <c r="D2113" s="229" t="s">
        <v>24</v>
      </c>
      <c r="E2113" s="229" t="s">
        <v>76</v>
      </c>
      <c r="F2113" s="229"/>
      <c r="G2113">
        <v>9</v>
      </c>
    </row>
    <row r="2114" spans="1:7" hidden="1" x14ac:dyDescent="0.2">
      <c r="A2114" t="str">
        <f t="shared" si="37"/>
        <v>ISJUnitASimplesSimples</v>
      </c>
      <c r="B2114" s="229" t="s">
        <v>241</v>
      </c>
      <c r="C2114" s="229" t="s">
        <v>219</v>
      </c>
      <c r="D2114" s="229" t="s">
        <v>25</v>
      </c>
      <c r="E2114" s="229" t="s">
        <v>26</v>
      </c>
      <c r="F2114" s="229" t="s">
        <v>26</v>
      </c>
      <c r="G2114">
        <v>2</v>
      </c>
    </row>
    <row r="2115" spans="1:7" hidden="1" x14ac:dyDescent="0.2">
      <c r="A2115" t="str">
        <f t="shared" si="37"/>
        <v>ISJUnitASimplesMédio</v>
      </c>
      <c r="B2115" s="229" t="s">
        <v>241</v>
      </c>
      <c r="C2115" s="229" t="s">
        <v>219</v>
      </c>
      <c r="D2115" s="229" t="s">
        <v>25</v>
      </c>
      <c r="E2115" s="229" t="s">
        <v>26</v>
      </c>
      <c r="F2115" s="229" t="s">
        <v>75</v>
      </c>
      <c r="G2115">
        <v>4</v>
      </c>
    </row>
    <row r="2116" spans="1:7" hidden="1" x14ac:dyDescent="0.2">
      <c r="A2116" t="str">
        <f t="shared" si="37"/>
        <v>ISJUnitASimplesComplexo</v>
      </c>
      <c r="B2116" s="229" t="s">
        <v>241</v>
      </c>
      <c r="C2116" s="229" t="s">
        <v>219</v>
      </c>
      <c r="D2116" s="229" t="s">
        <v>25</v>
      </c>
      <c r="E2116" s="229" t="s">
        <v>26</v>
      </c>
      <c r="F2116" s="229" t="s">
        <v>76</v>
      </c>
      <c r="G2116">
        <v>5</v>
      </c>
    </row>
    <row r="2117" spans="1:7" hidden="1" x14ac:dyDescent="0.2">
      <c r="A2117" t="str">
        <f t="shared" si="37"/>
        <v>ISJUnitAMédioSimples</v>
      </c>
      <c r="B2117" s="229" t="s">
        <v>241</v>
      </c>
      <c r="C2117" s="229" t="s">
        <v>219</v>
      </c>
      <c r="D2117" s="229" t="s">
        <v>25</v>
      </c>
      <c r="E2117" s="229" t="s">
        <v>75</v>
      </c>
      <c r="F2117" s="229" t="s">
        <v>26</v>
      </c>
      <c r="G2117">
        <v>3</v>
      </c>
    </row>
    <row r="2118" spans="1:7" hidden="1" x14ac:dyDescent="0.2">
      <c r="A2118" t="str">
        <f t="shared" si="37"/>
        <v>ISJUnitAMédioMédio</v>
      </c>
      <c r="B2118" s="229" t="s">
        <v>241</v>
      </c>
      <c r="C2118" s="229" t="s">
        <v>219</v>
      </c>
      <c r="D2118" s="229" t="s">
        <v>25</v>
      </c>
      <c r="E2118" s="229" t="s">
        <v>75</v>
      </c>
      <c r="F2118" s="229" t="s">
        <v>75</v>
      </c>
      <c r="G2118">
        <v>5</v>
      </c>
    </row>
    <row r="2119" spans="1:7" hidden="1" x14ac:dyDescent="0.2">
      <c r="A2119" t="str">
        <f t="shared" si="37"/>
        <v>ISJUnitAMédioComplexo</v>
      </c>
      <c r="B2119" s="229" t="s">
        <v>241</v>
      </c>
      <c r="C2119" s="229" t="s">
        <v>219</v>
      </c>
      <c r="D2119" s="229" t="s">
        <v>25</v>
      </c>
      <c r="E2119" s="229" t="s">
        <v>75</v>
      </c>
      <c r="F2119" s="229" t="s">
        <v>76</v>
      </c>
      <c r="G2119">
        <v>7</v>
      </c>
    </row>
    <row r="2120" spans="1:7" hidden="1" x14ac:dyDescent="0.2">
      <c r="A2120" t="str">
        <f t="shared" si="37"/>
        <v>ISJUnitAComplexoSimples</v>
      </c>
      <c r="B2120" s="229" t="s">
        <v>241</v>
      </c>
      <c r="C2120" s="229" t="s">
        <v>219</v>
      </c>
      <c r="D2120" s="229" t="s">
        <v>25</v>
      </c>
      <c r="E2120" s="229" t="s">
        <v>76</v>
      </c>
      <c r="F2120" s="229" t="s">
        <v>26</v>
      </c>
      <c r="G2120">
        <v>4</v>
      </c>
    </row>
    <row r="2121" spans="1:7" hidden="1" x14ac:dyDescent="0.2">
      <c r="A2121" t="str">
        <f t="shared" si="37"/>
        <v>ISJUnitAComplexoMédio</v>
      </c>
      <c r="B2121" s="229" t="s">
        <v>241</v>
      </c>
      <c r="C2121" s="229" t="s">
        <v>219</v>
      </c>
      <c r="D2121" s="229" t="s">
        <v>25</v>
      </c>
      <c r="E2121" s="229" t="s">
        <v>76</v>
      </c>
      <c r="F2121" s="229" t="s">
        <v>75</v>
      </c>
      <c r="G2121">
        <v>6</v>
      </c>
    </row>
    <row r="2122" spans="1:7" hidden="1" x14ac:dyDescent="0.2">
      <c r="A2122" t="str">
        <f t="shared" si="37"/>
        <v>ISJUnitAComplexoComplexo</v>
      </c>
      <c r="B2122" s="229" t="s">
        <v>241</v>
      </c>
      <c r="C2122" s="229" t="s">
        <v>219</v>
      </c>
      <c r="D2122" s="229" t="s">
        <v>25</v>
      </c>
      <c r="E2122" s="229" t="s">
        <v>76</v>
      </c>
      <c r="F2122" s="229" t="s">
        <v>76</v>
      </c>
      <c r="G2122">
        <v>8</v>
      </c>
    </row>
    <row r="2123" spans="1:7" hidden="1" x14ac:dyDescent="0.2">
      <c r="A2123" t="str">
        <f t="shared" si="37"/>
        <v>ISBanco de Dados (DML, DDL)NSimples</v>
      </c>
      <c r="B2123" s="229" t="s">
        <v>241</v>
      </c>
      <c r="C2123" s="229" t="s">
        <v>220</v>
      </c>
      <c r="D2123" s="229" t="s">
        <v>24</v>
      </c>
      <c r="E2123" s="229" t="s">
        <v>26</v>
      </c>
      <c r="F2123" s="229"/>
      <c r="G2123">
        <v>1</v>
      </c>
    </row>
    <row r="2124" spans="1:7" hidden="1" x14ac:dyDescent="0.2">
      <c r="A2124" t="str">
        <f t="shared" si="37"/>
        <v>ISBanco de Dados (DML, DDL)NMédio</v>
      </c>
      <c r="B2124" s="229" t="s">
        <v>241</v>
      </c>
      <c r="C2124" s="229" t="s">
        <v>220</v>
      </c>
      <c r="D2124" s="229" t="s">
        <v>24</v>
      </c>
      <c r="E2124" s="229" t="s">
        <v>75</v>
      </c>
      <c r="F2124" s="229"/>
      <c r="G2124">
        <v>3</v>
      </c>
    </row>
    <row r="2125" spans="1:7" hidden="1" x14ac:dyDescent="0.2">
      <c r="A2125" t="str">
        <f t="shared" si="37"/>
        <v>ISBanco de Dados (DML, DDL)NComplexo</v>
      </c>
      <c r="B2125" s="229" t="s">
        <v>241</v>
      </c>
      <c r="C2125" s="229" t="s">
        <v>220</v>
      </c>
      <c r="D2125" s="229" t="s">
        <v>24</v>
      </c>
      <c r="E2125" s="229" t="s">
        <v>76</v>
      </c>
      <c r="F2125" s="229"/>
      <c r="G2125">
        <v>5</v>
      </c>
    </row>
    <row r="2126" spans="1:7" hidden="1" x14ac:dyDescent="0.2">
      <c r="A2126" t="str">
        <f t="shared" si="37"/>
        <v>ISBanco de Dados (DML, DDL)ASimplesSimples</v>
      </c>
      <c r="B2126" s="229" t="s">
        <v>241</v>
      </c>
      <c r="C2126" s="229" t="s">
        <v>220</v>
      </c>
      <c r="D2126" s="229" t="s">
        <v>25</v>
      </c>
      <c r="E2126" s="229" t="s">
        <v>26</v>
      </c>
      <c r="F2126" s="229" t="s">
        <v>26</v>
      </c>
      <c r="G2126">
        <v>1</v>
      </c>
    </row>
    <row r="2127" spans="1:7" hidden="1" x14ac:dyDescent="0.2">
      <c r="A2127" t="str">
        <f t="shared" si="37"/>
        <v>ISBanco de Dados (DML, DDL)ASimplesMédio</v>
      </c>
      <c r="B2127" s="229" t="s">
        <v>241</v>
      </c>
      <c r="C2127" s="229" t="s">
        <v>220</v>
      </c>
      <c r="D2127" s="229" t="s">
        <v>25</v>
      </c>
      <c r="E2127" s="229" t="s">
        <v>26</v>
      </c>
      <c r="F2127" s="229" t="s">
        <v>75</v>
      </c>
      <c r="G2127">
        <v>3</v>
      </c>
    </row>
    <row r="2128" spans="1:7" hidden="1" x14ac:dyDescent="0.2">
      <c r="A2128" t="str">
        <f t="shared" si="37"/>
        <v>ISBanco de Dados (DML, DDL)ASimplesComplexo</v>
      </c>
      <c r="B2128" s="229" t="s">
        <v>241</v>
      </c>
      <c r="C2128" s="229" t="s">
        <v>220</v>
      </c>
      <c r="D2128" s="229" t="s">
        <v>25</v>
      </c>
      <c r="E2128" s="229" t="s">
        <v>26</v>
      </c>
      <c r="F2128" s="229" t="s">
        <v>76</v>
      </c>
      <c r="G2128">
        <v>5</v>
      </c>
    </row>
    <row r="2129" spans="1:7" hidden="1" x14ac:dyDescent="0.2">
      <c r="A2129" t="str">
        <f t="shared" si="37"/>
        <v>ISBanco de Dados (DML, DDL)AMédioSimples</v>
      </c>
      <c r="B2129" s="229" t="s">
        <v>241</v>
      </c>
      <c r="C2129" s="229" t="s">
        <v>220</v>
      </c>
      <c r="D2129" s="229" t="s">
        <v>25</v>
      </c>
      <c r="E2129" s="229" t="s">
        <v>75</v>
      </c>
      <c r="F2129" s="229" t="s">
        <v>26</v>
      </c>
      <c r="G2129">
        <v>3</v>
      </c>
    </row>
    <row r="2130" spans="1:7" hidden="1" x14ac:dyDescent="0.2">
      <c r="A2130" t="str">
        <f t="shared" si="37"/>
        <v>ISBanco de Dados (DML, DDL)AMédioMédio</v>
      </c>
      <c r="B2130" s="229" t="s">
        <v>241</v>
      </c>
      <c r="C2130" s="229" t="s">
        <v>220</v>
      </c>
      <c r="D2130" s="229" t="s">
        <v>25</v>
      </c>
      <c r="E2130" s="229" t="s">
        <v>75</v>
      </c>
      <c r="F2130" s="229" t="s">
        <v>75</v>
      </c>
      <c r="G2130">
        <v>6</v>
      </c>
    </row>
    <row r="2131" spans="1:7" hidden="1" x14ac:dyDescent="0.2">
      <c r="A2131" t="str">
        <f t="shared" si="37"/>
        <v>ISBanco de Dados (DML, DDL)AMédioComplexo</v>
      </c>
      <c r="B2131" s="229" t="s">
        <v>241</v>
      </c>
      <c r="C2131" s="229" t="s">
        <v>220</v>
      </c>
      <c r="D2131" s="229" t="s">
        <v>25</v>
      </c>
      <c r="E2131" s="229" t="s">
        <v>75</v>
      </c>
      <c r="F2131" s="229" t="s">
        <v>76</v>
      </c>
      <c r="G2131">
        <v>8</v>
      </c>
    </row>
    <row r="2132" spans="1:7" hidden="1" x14ac:dyDescent="0.2">
      <c r="A2132" t="str">
        <f t="shared" si="37"/>
        <v>ISBanco de Dados (DML, DDL)AComplexoSimples</v>
      </c>
      <c r="B2132" s="229" t="s">
        <v>241</v>
      </c>
      <c r="C2132" s="229" t="s">
        <v>220</v>
      </c>
      <c r="D2132" s="229" t="s">
        <v>25</v>
      </c>
      <c r="E2132" s="229" t="s">
        <v>76</v>
      </c>
      <c r="F2132" s="229" t="s">
        <v>26</v>
      </c>
      <c r="G2132">
        <v>5</v>
      </c>
    </row>
    <row r="2133" spans="1:7" hidden="1" x14ac:dyDescent="0.2">
      <c r="A2133" t="str">
        <f t="shared" si="37"/>
        <v>ISBanco de Dados (DML, DDL)AComplexoMédio</v>
      </c>
      <c r="B2133" s="229" t="s">
        <v>241</v>
      </c>
      <c r="C2133" s="229" t="s">
        <v>220</v>
      </c>
      <c r="D2133" s="229" t="s">
        <v>25</v>
      </c>
      <c r="E2133" s="229" t="s">
        <v>76</v>
      </c>
      <c r="F2133" s="229" t="s">
        <v>75</v>
      </c>
      <c r="G2133">
        <v>8</v>
      </c>
    </row>
    <row r="2134" spans="1:7" hidden="1" x14ac:dyDescent="0.2">
      <c r="A2134" t="str">
        <f t="shared" si="37"/>
        <v>ISBanco de Dados (DML, DDL)AComplexoComplexo</v>
      </c>
      <c r="B2134" s="229" t="s">
        <v>241</v>
      </c>
      <c r="C2134" s="229" t="s">
        <v>220</v>
      </c>
      <c r="D2134" s="229" t="s">
        <v>25</v>
      </c>
      <c r="E2134" s="229" t="s">
        <v>76</v>
      </c>
      <c r="F2134" s="229" t="s">
        <v>76</v>
      </c>
      <c r="G2134">
        <v>10</v>
      </c>
    </row>
    <row r="2135" spans="1:7" hidden="1" x14ac:dyDescent="0.2">
      <c r="A2135" t="str">
        <f t="shared" si="37"/>
        <v>ISBanco de Dados (PL/SQL)NSimples</v>
      </c>
      <c r="B2135" s="229" t="s">
        <v>241</v>
      </c>
      <c r="C2135" s="229" t="s">
        <v>203</v>
      </c>
      <c r="D2135" s="229" t="s">
        <v>24</v>
      </c>
      <c r="E2135" s="229" t="s">
        <v>26</v>
      </c>
      <c r="F2135" s="229"/>
      <c r="G2135">
        <v>4</v>
      </c>
    </row>
    <row r="2136" spans="1:7" hidden="1" x14ac:dyDescent="0.2">
      <c r="A2136" t="str">
        <f t="shared" si="37"/>
        <v>ISBanco de Dados (PL/SQL)NMédio</v>
      </c>
      <c r="B2136" s="229" t="s">
        <v>241</v>
      </c>
      <c r="C2136" s="229" t="s">
        <v>203</v>
      </c>
      <c r="D2136" s="229" t="s">
        <v>24</v>
      </c>
      <c r="E2136" s="229" t="s">
        <v>75</v>
      </c>
      <c r="F2136" s="229"/>
      <c r="G2136">
        <v>8</v>
      </c>
    </row>
    <row r="2137" spans="1:7" hidden="1" x14ac:dyDescent="0.2">
      <c r="A2137" t="str">
        <f t="shared" si="37"/>
        <v>ISBanco de Dados (PL/SQL)NComplexo</v>
      </c>
      <c r="B2137" s="229" t="s">
        <v>241</v>
      </c>
      <c r="C2137" s="229" t="s">
        <v>203</v>
      </c>
      <c r="D2137" s="229" t="s">
        <v>24</v>
      </c>
      <c r="E2137" s="229" t="s">
        <v>76</v>
      </c>
      <c r="F2137" s="229"/>
      <c r="G2137">
        <v>12</v>
      </c>
    </row>
    <row r="2138" spans="1:7" hidden="1" x14ac:dyDescent="0.2">
      <c r="A2138" t="str">
        <f t="shared" si="37"/>
        <v>ISBanco de Dados (PL/SQL)ASimplesSimples</v>
      </c>
      <c r="B2138" s="229" t="s">
        <v>241</v>
      </c>
      <c r="C2138" s="229" t="s">
        <v>203</v>
      </c>
      <c r="D2138" s="229" t="s">
        <v>25</v>
      </c>
      <c r="E2138" s="229" t="s">
        <v>26</v>
      </c>
      <c r="F2138" s="229" t="s">
        <v>26</v>
      </c>
      <c r="G2138">
        <v>2</v>
      </c>
    </row>
    <row r="2139" spans="1:7" hidden="1" x14ac:dyDescent="0.2">
      <c r="A2139" t="str">
        <f t="shared" si="37"/>
        <v>ISBanco de Dados (PL/SQL)ASimplesMédio</v>
      </c>
      <c r="B2139" s="229" t="s">
        <v>241</v>
      </c>
      <c r="C2139" s="229" t="s">
        <v>203</v>
      </c>
      <c r="D2139" s="229" t="s">
        <v>25</v>
      </c>
      <c r="E2139" s="229" t="s">
        <v>26</v>
      </c>
      <c r="F2139" s="229" t="s">
        <v>75</v>
      </c>
      <c r="G2139">
        <v>4</v>
      </c>
    </row>
    <row r="2140" spans="1:7" hidden="1" x14ac:dyDescent="0.2">
      <c r="A2140" t="str">
        <f t="shared" si="37"/>
        <v>ISBanco de Dados (PL/SQL)ASimplesComplexo</v>
      </c>
      <c r="B2140" s="229" t="s">
        <v>241</v>
      </c>
      <c r="C2140" s="229" t="s">
        <v>203</v>
      </c>
      <c r="D2140" s="229" t="s">
        <v>25</v>
      </c>
      <c r="E2140" s="229" t="s">
        <v>26</v>
      </c>
      <c r="F2140" s="229" t="s">
        <v>76</v>
      </c>
      <c r="G2140">
        <v>6</v>
      </c>
    </row>
    <row r="2141" spans="1:7" hidden="1" x14ac:dyDescent="0.2">
      <c r="A2141" t="str">
        <f t="shared" si="37"/>
        <v>ISBanco de Dados (PL/SQL)AMédioSimples</v>
      </c>
      <c r="B2141" s="229" t="s">
        <v>241</v>
      </c>
      <c r="C2141" s="229" t="s">
        <v>203</v>
      </c>
      <c r="D2141" s="229" t="s">
        <v>25</v>
      </c>
      <c r="E2141" s="229" t="s">
        <v>75</v>
      </c>
      <c r="F2141" s="229" t="s">
        <v>26</v>
      </c>
      <c r="G2141">
        <v>4</v>
      </c>
    </row>
    <row r="2142" spans="1:7" hidden="1" x14ac:dyDescent="0.2">
      <c r="A2142" t="str">
        <f t="shared" si="37"/>
        <v>ISBanco de Dados (PL/SQL)AMédioMédio</v>
      </c>
      <c r="B2142" s="229" t="s">
        <v>241</v>
      </c>
      <c r="C2142" s="229" t="s">
        <v>203</v>
      </c>
      <c r="D2142" s="229" t="s">
        <v>25</v>
      </c>
      <c r="E2142" s="229" t="s">
        <v>75</v>
      </c>
      <c r="F2142" s="229" t="s">
        <v>75</v>
      </c>
      <c r="G2142">
        <v>6</v>
      </c>
    </row>
    <row r="2143" spans="1:7" hidden="1" x14ac:dyDescent="0.2">
      <c r="A2143" t="str">
        <f t="shared" si="37"/>
        <v>ISBanco de Dados (PL/SQL)AMédioComplexo</v>
      </c>
      <c r="B2143" s="229" t="s">
        <v>241</v>
      </c>
      <c r="C2143" s="229" t="s">
        <v>203</v>
      </c>
      <c r="D2143" s="229" t="s">
        <v>25</v>
      </c>
      <c r="E2143" s="229" t="s">
        <v>75</v>
      </c>
      <c r="F2143" s="229" t="s">
        <v>76</v>
      </c>
      <c r="G2143">
        <v>9</v>
      </c>
    </row>
    <row r="2144" spans="1:7" hidden="1" x14ac:dyDescent="0.2">
      <c r="A2144" t="str">
        <f t="shared" si="37"/>
        <v>ISBanco de Dados (PL/SQL)AComplexoSimples</v>
      </c>
      <c r="B2144" s="229" t="s">
        <v>241</v>
      </c>
      <c r="C2144" s="229" t="s">
        <v>203</v>
      </c>
      <c r="D2144" s="229" t="s">
        <v>25</v>
      </c>
      <c r="E2144" s="229" t="s">
        <v>76</v>
      </c>
      <c r="F2144" s="229" t="s">
        <v>26</v>
      </c>
      <c r="G2144">
        <v>7</v>
      </c>
    </row>
    <row r="2145" spans="1:7" hidden="1" x14ac:dyDescent="0.2">
      <c r="A2145" t="str">
        <f t="shared" si="37"/>
        <v>ISBanco de Dados (PL/SQL)AComplexoMédio</v>
      </c>
      <c r="B2145" s="229" t="s">
        <v>241</v>
      </c>
      <c r="C2145" s="229" t="s">
        <v>203</v>
      </c>
      <c r="D2145" s="229" t="s">
        <v>25</v>
      </c>
      <c r="E2145" s="229" t="s">
        <v>76</v>
      </c>
      <c r="F2145" s="229" t="s">
        <v>75</v>
      </c>
      <c r="G2145">
        <v>9</v>
      </c>
    </row>
    <row r="2146" spans="1:7" hidden="1" x14ac:dyDescent="0.2">
      <c r="A2146" t="str">
        <f t="shared" si="37"/>
        <v>ISBanco de Dados (PL/SQL)AComplexoComplexo</v>
      </c>
      <c r="B2146" s="229" t="s">
        <v>241</v>
      </c>
      <c r="C2146" s="229" t="s">
        <v>203</v>
      </c>
      <c r="D2146" s="229" t="s">
        <v>25</v>
      </c>
      <c r="E2146" s="229" t="s">
        <v>76</v>
      </c>
      <c r="F2146" s="229" t="s">
        <v>76</v>
      </c>
      <c r="G2146">
        <v>12</v>
      </c>
    </row>
    <row r="2147" spans="1:7" hidden="1" x14ac:dyDescent="0.2">
      <c r="A2147" t="str">
        <f t="shared" si="37"/>
        <v>ISJAVA: Interface WebServiceNSimples</v>
      </c>
      <c r="B2147" s="229" t="s">
        <v>241</v>
      </c>
      <c r="C2147" s="229" t="s">
        <v>204</v>
      </c>
      <c r="D2147" s="229" t="s">
        <v>24</v>
      </c>
      <c r="E2147" s="229" t="s">
        <v>26</v>
      </c>
      <c r="F2147" s="229"/>
      <c r="G2147">
        <v>3</v>
      </c>
    </row>
    <row r="2148" spans="1:7" hidden="1" x14ac:dyDescent="0.2">
      <c r="A2148" t="str">
        <f t="shared" si="37"/>
        <v>ISJAVA: Interface WebServiceNMédio</v>
      </c>
      <c r="B2148" s="229" t="s">
        <v>241</v>
      </c>
      <c r="C2148" s="229" t="s">
        <v>204</v>
      </c>
      <c r="D2148" s="229" t="s">
        <v>24</v>
      </c>
      <c r="E2148" s="229" t="s">
        <v>75</v>
      </c>
      <c r="F2148" s="229"/>
      <c r="G2148">
        <v>5</v>
      </c>
    </row>
    <row r="2149" spans="1:7" hidden="1" x14ac:dyDescent="0.2">
      <c r="A2149" t="str">
        <f t="shared" si="37"/>
        <v>ISJAVA: Interface WebServiceNComplexo</v>
      </c>
      <c r="B2149" s="229" t="s">
        <v>241</v>
      </c>
      <c r="C2149" s="229" t="s">
        <v>204</v>
      </c>
      <c r="D2149" s="229" t="s">
        <v>24</v>
      </c>
      <c r="E2149" s="229" t="s">
        <v>76</v>
      </c>
      <c r="F2149" s="229"/>
      <c r="G2149">
        <v>8</v>
      </c>
    </row>
    <row r="2150" spans="1:7" hidden="1" x14ac:dyDescent="0.2">
      <c r="A2150" t="str">
        <f t="shared" si="37"/>
        <v>ISJAVA: Interface WebServiceASimplesSimples</v>
      </c>
      <c r="B2150" s="229" t="s">
        <v>241</v>
      </c>
      <c r="C2150" s="229" t="s">
        <v>204</v>
      </c>
      <c r="D2150" s="229" t="s">
        <v>25</v>
      </c>
      <c r="E2150" s="229" t="s">
        <v>26</v>
      </c>
      <c r="F2150" s="229" t="s">
        <v>26</v>
      </c>
      <c r="G2150">
        <v>2</v>
      </c>
    </row>
    <row r="2151" spans="1:7" hidden="1" x14ac:dyDescent="0.2">
      <c r="A2151" t="str">
        <f t="shared" si="37"/>
        <v>ISJAVA: Interface WebServiceASimplesMédio</v>
      </c>
      <c r="B2151" s="229" t="s">
        <v>241</v>
      </c>
      <c r="C2151" s="229" t="s">
        <v>204</v>
      </c>
      <c r="D2151" s="229" t="s">
        <v>25</v>
      </c>
      <c r="E2151" s="229" t="s">
        <v>26</v>
      </c>
      <c r="F2151" s="229" t="s">
        <v>75</v>
      </c>
      <c r="G2151">
        <v>3</v>
      </c>
    </row>
    <row r="2152" spans="1:7" hidden="1" x14ac:dyDescent="0.2">
      <c r="A2152" t="str">
        <f t="shared" si="37"/>
        <v>ISJAVA: Interface WebServiceASimplesComplexo</v>
      </c>
      <c r="B2152" s="229" t="s">
        <v>241</v>
      </c>
      <c r="C2152" s="229" t="s">
        <v>204</v>
      </c>
      <c r="D2152" s="229" t="s">
        <v>25</v>
      </c>
      <c r="E2152" s="229" t="s">
        <v>26</v>
      </c>
      <c r="F2152" s="229" t="s">
        <v>76</v>
      </c>
      <c r="G2152">
        <v>4</v>
      </c>
    </row>
    <row r="2153" spans="1:7" hidden="1" x14ac:dyDescent="0.2">
      <c r="A2153" t="str">
        <f t="shared" si="37"/>
        <v>ISJAVA: Interface WebServiceAMédioSimples</v>
      </c>
      <c r="B2153" s="229" t="s">
        <v>241</v>
      </c>
      <c r="C2153" s="229" t="s">
        <v>204</v>
      </c>
      <c r="D2153" s="229" t="s">
        <v>25</v>
      </c>
      <c r="E2153" s="229" t="s">
        <v>75</v>
      </c>
      <c r="F2153" s="229" t="s">
        <v>26</v>
      </c>
      <c r="G2153">
        <v>2</v>
      </c>
    </row>
    <row r="2154" spans="1:7" hidden="1" x14ac:dyDescent="0.2">
      <c r="A2154" t="str">
        <f t="shared" si="37"/>
        <v>ISJAVA: Interface WebServiceAMédioMédio</v>
      </c>
      <c r="B2154" s="229" t="s">
        <v>241</v>
      </c>
      <c r="C2154" s="229" t="s">
        <v>204</v>
      </c>
      <c r="D2154" s="229" t="s">
        <v>25</v>
      </c>
      <c r="E2154" s="229" t="s">
        <v>75</v>
      </c>
      <c r="F2154" s="229" t="s">
        <v>75</v>
      </c>
      <c r="G2154">
        <v>5</v>
      </c>
    </row>
    <row r="2155" spans="1:7" hidden="1" x14ac:dyDescent="0.2">
      <c r="A2155" t="str">
        <f t="shared" si="37"/>
        <v>ISJAVA: Interface WebServiceAMédioComplexo</v>
      </c>
      <c r="B2155" s="229" t="s">
        <v>241</v>
      </c>
      <c r="C2155" s="229" t="s">
        <v>204</v>
      </c>
      <c r="D2155" s="229" t="s">
        <v>25</v>
      </c>
      <c r="E2155" s="229" t="s">
        <v>75</v>
      </c>
      <c r="F2155" s="229" t="s">
        <v>76</v>
      </c>
      <c r="G2155">
        <v>8</v>
      </c>
    </row>
    <row r="2156" spans="1:7" hidden="1" x14ac:dyDescent="0.2">
      <c r="A2156" t="str">
        <f t="shared" si="37"/>
        <v>ISJAVA: Interface WebServiceAComplexoSimples</v>
      </c>
      <c r="B2156" s="229" t="s">
        <v>241</v>
      </c>
      <c r="C2156" s="229" t="s">
        <v>204</v>
      </c>
      <c r="D2156" s="229" t="s">
        <v>25</v>
      </c>
      <c r="E2156" s="229" t="s">
        <v>76</v>
      </c>
      <c r="F2156" s="229" t="s">
        <v>26</v>
      </c>
      <c r="G2156">
        <v>5</v>
      </c>
    </row>
    <row r="2157" spans="1:7" hidden="1" x14ac:dyDescent="0.2">
      <c r="A2157" t="str">
        <f t="shared" si="37"/>
        <v>ISJAVA: Interface WebServiceAComplexoMédio</v>
      </c>
      <c r="B2157" s="229" t="s">
        <v>241</v>
      </c>
      <c r="C2157" s="229" t="s">
        <v>204</v>
      </c>
      <c r="D2157" s="229" t="s">
        <v>25</v>
      </c>
      <c r="E2157" s="229" t="s">
        <v>76</v>
      </c>
      <c r="F2157" s="229" t="s">
        <v>75</v>
      </c>
      <c r="G2157">
        <v>7</v>
      </c>
    </row>
    <row r="2158" spans="1:7" hidden="1" x14ac:dyDescent="0.2">
      <c r="A2158" t="str">
        <f t="shared" si="37"/>
        <v>ISJAVA: Interface WebServiceAComplexoComplexo</v>
      </c>
      <c r="B2158" s="229" t="s">
        <v>241</v>
      </c>
      <c r="C2158" s="229" t="s">
        <v>204</v>
      </c>
      <c r="D2158" s="229" t="s">
        <v>25</v>
      </c>
      <c r="E2158" s="229" t="s">
        <v>76</v>
      </c>
      <c r="F2158" s="229" t="s">
        <v>76</v>
      </c>
      <c r="G2158">
        <v>9</v>
      </c>
    </row>
    <row r="2159" spans="1:7" hidden="1" x14ac:dyDescent="0.2">
      <c r="A2159" t="str">
        <f t="shared" si="37"/>
        <v>ISJAVA: Transformação de ObjetosNSimples</v>
      </c>
      <c r="B2159" s="229" t="s">
        <v>241</v>
      </c>
      <c r="C2159" s="229" t="s">
        <v>205</v>
      </c>
      <c r="D2159" s="229" t="s">
        <v>24</v>
      </c>
      <c r="E2159" s="229" t="s">
        <v>26</v>
      </c>
      <c r="F2159" s="229"/>
      <c r="G2159">
        <v>1</v>
      </c>
    </row>
    <row r="2160" spans="1:7" hidden="1" x14ac:dyDescent="0.2">
      <c r="A2160" t="str">
        <f t="shared" si="37"/>
        <v>ISJAVA: Transformação de ObjetosNMédio</v>
      </c>
      <c r="B2160" s="229" t="s">
        <v>241</v>
      </c>
      <c r="C2160" s="229" t="s">
        <v>205</v>
      </c>
      <c r="D2160" s="229" t="s">
        <v>24</v>
      </c>
      <c r="E2160" s="229" t="s">
        <v>75</v>
      </c>
      <c r="F2160" s="229"/>
      <c r="G2160">
        <v>3</v>
      </c>
    </row>
    <row r="2161" spans="1:7" hidden="1" x14ac:dyDescent="0.2">
      <c r="A2161" t="str">
        <f t="shared" si="37"/>
        <v>ISJAVA: Transformação de ObjetosNComplexo</v>
      </c>
      <c r="B2161" s="229" t="s">
        <v>241</v>
      </c>
      <c r="C2161" s="229" t="s">
        <v>205</v>
      </c>
      <c r="D2161" s="229" t="s">
        <v>24</v>
      </c>
      <c r="E2161" s="229" t="s">
        <v>76</v>
      </c>
      <c r="F2161" s="229"/>
      <c r="G2161">
        <v>5</v>
      </c>
    </row>
    <row r="2162" spans="1:7" hidden="1" x14ac:dyDescent="0.2">
      <c r="A2162" t="str">
        <f t="shared" si="37"/>
        <v>ISJAVA: Transformação de ObjetosASimplesSimples</v>
      </c>
      <c r="B2162" s="229" t="s">
        <v>241</v>
      </c>
      <c r="C2162" s="229" t="s">
        <v>205</v>
      </c>
      <c r="D2162" s="229" t="s">
        <v>25</v>
      </c>
      <c r="E2162" s="229" t="s">
        <v>26</v>
      </c>
      <c r="F2162" s="229" t="s">
        <v>26</v>
      </c>
      <c r="G2162">
        <v>1</v>
      </c>
    </row>
    <row r="2163" spans="1:7" hidden="1" x14ac:dyDescent="0.2">
      <c r="A2163" t="str">
        <f t="shared" si="37"/>
        <v>ISJAVA: Transformação de ObjetosASimplesMédio</v>
      </c>
      <c r="B2163" s="229" t="s">
        <v>241</v>
      </c>
      <c r="C2163" s="229" t="s">
        <v>205</v>
      </c>
      <c r="D2163" s="229" t="s">
        <v>25</v>
      </c>
      <c r="E2163" s="229" t="s">
        <v>26</v>
      </c>
      <c r="F2163" s="229" t="s">
        <v>75</v>
      </c>
      <c r="G2163">
        <v>2</v>
      </c>
    </row>
    <row r="2164" spans="1:7" hidden="1" x14ac:dyDescent="0.2">
      <c r="A2164" t="str">
        <f t="shared" si="37"/>
        <v>ISJAVA: Transformação de ObjetosASimplesComplexo</v>
      </c>
      <c r="B2164" s="229" t="s">
        <v>241</v>
      </c>
      <c r="C2164" s="229" t="s">
        <v>205</v>
      </c>
      <c r="D2164" s="229" t="s">
        <v>25</v>
      </c>
      <c r="E2164" s="229" t="s">
        <v>26</v>
      </c>
      <c r="F2164" s="229" t="s">
        <v>76</v>
      </c>
      <c r="G2164">
        <v>4</v>
      </c>
    </row>
    <row r="2165" spans="1:7" hidden="1" x14ac:dyDescent="0.2">
      <c r="A2165" t="str">
        <f t="shared" si="37"/>
        <v>ISJAVA: Transformação de ObjetosAMédioSimples</v>
      </c>
      <c r="B2165" s="229" t="s">
        <v>241</v>
      </c>
      <c r="C2165" s="229" t="s">
        <v>205</v>
      </c>
      <c r="D2165" s="229" t="s">
        <v>25</v>
      </c>
      <c r="E2165" s="229" t="s">
        <v>75</v>
      </c>
      <c r="F2165" s="229" t="s">
        <v>26</v>
      </c>
      <c r="G2165">
        <v>3</v>
      </c>
    </row>
    <row r="2166" spans="1:7" hidden="1" x14ac:dyDescent="0.2">
      <c r="A2166" t="str">
        <f t="shared" si="37"/>
        <v>ISJAVA: Transformação de ObjetosAMédioMédio</v>
      </c>
      <c r="B2166" s="229" t="s">
        <v>241</v>
      </c>
      <c r="C2166" s="229" t="s">
        <v>205</v>
      </c>
      <c r="D2166" s="229" t="s">
        <v>25</v>
      </c>
      <c r="E2166" s="229" t="s">
        <v>75</v>
      </c>
      <c r="F2166" s="229" t="s">
        <v>75</v>
      </c>
      <c r="G2166">
        <v>5</v>
      </c>
    </row>
    <row r="2167" spans="1:7" hidden="1" x14ac:dyDescent="0.2">
      <c r="A2167" t="str">
        <f t="shared" si="37"/>
        <v>ISJAVA: Transformação de ObjetosAMédioComplexo</v>
      </c>
      <c r="B2167" s="229" t="s">
        <v>241</v>
      </c>
      <c r="C2167" s="229" t="s">
        <v>205</v>
      </c>
      <c r="D2167" s="229" t="s">
        <v>25</v>
      </c>
      <c r="E2167" s="229" t="s">
        <v>75</v>
      </c>
      <c r="F2167" s="229" t="s">
        <v>76</v>
      </c>
      <c r="G2167">
        <v>6</v>
      </c>
    </row>
    <row r="2168" spans="1:7" hidden="1" x14ac:dyDescent="0.2">
      <c r="A2168" t="str">
        <f t="shared" si="37"/>
        <v>ISJAVA: Transformação de ObjetosAComplexoSimples</v>
      </c>
      <c r="B2168" s="229" t="s">
        <v>241</v>
      </c>
      <c r="C2168" s="229" t="s">
        <v>205</v>
      </c>
      <c r="D2168" s="229" t="s">
        <v>25</v>
      </c>
      <c r="E2168" s="229" t="s">
        <v>76</v>
      </c>
      <c r="F2168" s="229" t="s">
        <v>26</v>
      </c>
      <c r="G2168">
        <v>4</v>
      </c>
    </row>
    <row r="2169" spans="1:7" hidden="1" x14ac:dyDescent="0.2">
      <c r="A2169" t="str">
        <f t="shared" si="37"/>
        <v>ISJAVA: Transformação de ObjetosAComplexoMédio</v>
      </c>
      <c r="B2169" s="229" t="s">
        <v>241</v>
      </c>
      <c r="C2169" s="229" t="s">
        <v>205</v>
      </c>
      <c r="D2169" s="229" t="s">
        <v>25</v>
      </c>
      <c r="E2169" s="229" t="s">
        <v>76</v>
      </c>
      <c r="F2169" s="229" t="s">
        <v>75</v>
      </c>
      <c r="G2169">
        <v>6</v>
      </c>
    </row>
    <row r="2170" spans="1:7" hidden="1" x14ac:dyDescent="0.2">
      <c r="A2170" t="str">
        <f t="shared" si="37"/>
        <v>ISJAVA: Transformação de ObjetosAComplexoComplexo</v>
      </c>
      <c r="B2170" s="229" t="s">
        <v>241</v>
      </c>
      <c r="C2170" s="229" t="s">
        <v>205</v>
      </c>
      <c r="D2170" s="229" t="s">
        <v>25</v>
      </c>
      <c r="E2170" s="229" t="s">
        <v>76</v>
      </c>
      <c r="F2170" s="229" t="s">
        <v>76</v>
      </c>
      <c r="G2170">
        <v>8</v>
      </c>
    </row>
    <row r="2171" spans="1:7" hidden="1" x14ac:dyDescent="0.2">
      <c r="A2171" t="str">
        <f t="shared" si="37"/>
        <v>ISJAVA: Métodos de Negócio (Controller)NSimples</v>
      </c>
      <c r="B2171" s="229" t="s">
        <v>241</v>
      </c>
      <c r="C2171" s="229" t="s">
        <v>206</v>
      </c>
      <c r="D2171" s="229" t="s">
        <v>24</v>
      </c>
      <c r="E2171" s="229" t="s">
        <v>26</v>
      </c>
      <c r="F2171" s="229"/>
      <c r="G2171">
        <v>8</v>
      </c>
    </row>
    <row r="2172" spans="1:7" hidden="1" x14ac:dyDescent="0.2">
      <c r="A2172" t="str">
        <f t="shared" si="37"/>
        <v>ISJAVA: Métodos de Negócio (Controller)NMédio</v>
      </c>
      <c r="B2172" s="229" t="s">
        <v>241</v>
      </c>
      <c r="C2172" s="229" t="s">
        <v>206</v>
      </c>
      <c r="D2172" s="229" t="s">
        <v>24</v>
      </c>
      <c r="E2172" s="229" t="s">
        <v>75</v>
      </c>
      <c r="F2172" s="229"/>
      <c r="G2172">
        <v>16</v>
      </c>
    </row>
    <row r="2173" spans="1:7" hidden="1" x14ac:dyDescent="0.2">
      <c r="A2173" t="str">
        <f t="shared" si="37"/>
        <v>ISJAVA: Métodos de Negócio (Controller)NComplexo</v>
      </c>
      <c r="B2173" s="229" t="s">
        <v>241</v>
      </c>
      <c r="C2173" s="229" t="s">
        <v>206</v>
      </c>
      <c r="D2173" s="229" t="s">
        <v>24</v>
      </c>
      <c r="E2173" s="229" t="s">
        <v>76</v>
      </c>
      <c r="F2173" s="229"/>
      <c r="G2173">
        <v>24</v>
      </c>
    </row>
    <row r="2174" spans="1:7" hidden="1" x14ac:dyDescent="0.2">
      <c r="A2174" t="str">
        <f t="shared" si="37"/>
        <v>ISJAVA: Métodos de Negócio (Controller)ASimplesSimples</v>
      </c>
      <c r="B2174" s="229" t="s">
        <v>241</v>
      </c>
      <c r="C2174" s="229" t="s">
        <v>206</v>
      </c>
      <c r="D2174" s="229" t="s">
        <v>25</v>
      </c>
      <c r="E2174" s="229" t="s">
        <v>26</v>
      </c>
      <c r="F2174" s="229" t="s">
        <v>26</v>
      </c>
      <c r="G2174">
        <v>3</v>
      </c>
    </row>
    <row r="2175" spans="1:7" hidden="1" x14ac:dyDescent="0.2">
      <c r="A2175" t="str">
        <f t="shared" si="37"/>
        <v>ISJAVA: Métodos de Negócio (Controller)ASimplesMédio</v>
      </c>
      <c r="B2175" s="229" t="s">
        <v>241</v>
      </c>
      <c r="C2175" s="229" t="s">
        <v>206</v>
      </c>
      <c r="D2175" s="229" t="s">
        <v>25</v>
      </c>
      <c r="E2175" s="229" t="s">
        <v>26</v>
      </c>
      <c r="F2175" s="229" t="s">
        <v>75</v>
      </c>
      <c r="G2175">
        <v>5</v>
      </c>
    </row>
    <row r="2176" spans="1:7" hidden="1" x14ac:dyDescent="0.2">
      <c r="A2176" t="str">
        <f t="shared" si="37"/>
        <v>ISJAVA: Métodos de Negócio (Controller)ASimplesComplexo</v>
      </c>
      <c r="B2176" s="229" t="s">
        <v>241</v>
      </c>
      <c r="C2176" s="229" t="s">
        <v>206</v>
      </c>
      <c r="D2176" s="229" t="s">
        <v>25</v>
      </c>
      <c r="E2176" s="229" t="s">
        <v>26</v>
      </c>
      <c r="F2176" s="229" t="s">
        <v>76</v>
      </c>
      <c r="G2176">
        <v>7</v>
      </c>
    </row>
    <row r="2177" spans="1:7" hidden="1" x14ac:dyDescent="0.2">
      <c r="A2177" t="str">
        <f t="shared" ref="A2177:A2240" si="38">B2177&amp;C2177&amp;D2177&amp;E2177&amp;F2177</f>
        <v>ISJAVA: Métodos de Negócio (Controller)AMédioSimples</v>
      </c>
      <c r="B2177" s="229" t="s">
        <v>241</v>
      </c>
      <c r="C2177" s="229" t="s">
        <v>206</v>
      </c>
      <c r="D2177" s="229" t="s">
        <v>25</v>
      </c>
      <c r="E2177" s="229" t="s">
        <v>75</v>
      </c>
      <c r="F2177" s="229" t="s">
        <v>26</v>
      </c>
      <c r="G2177" s="229">
        <v>8</v>
      </c>
    </row>
    <row r="2178" spans="1:7" hidden="1" x14ac:dyDescent="0.2">
      <c r="A2178" t="str">
        <f t="shared" si="38"/>
        <v>ISJAVA: Métodos de Negócio (Controller)AMédioMédio</v>
      </c>
      <c r="B2178" s="229" t="s">
        <v>241</v>
      </c>
      <c r="C2178" s="229" t="s">
        <v>206</v>
      </c>
      <c r="D2178" s="229" t="s">
        <v>25</v>
      </c>
      <c r="E2178" s="229" t="s">
        <v>75</v>
      </c>
      <c r="F2178" s="229" t="s">
        <v>75</v>
      </c>
      <c r="G2178">
        <v>10</v>
      </c>
    </row>
    <row r="2179" spans="1:7" hidden="1" x14ac:dyDescent="0.2">
      <c r="A2179" t="str">
        <f t="shared" si="38"/>
        <v>ISJAVA: Métodos de Negócio (Controller)AMédioComplexo</v>
      </c>
      <c r="B2179" s="229" t="s">
        <v>241</v>
      </c>
      <c r="C2179" s="229" t="s">
        <v>206</v>
      </c>
      <c r="D2179" s="229" t="s">
        <v>25</v>
      </c>
      <c r="E2179" s="229" t="s">
        <v>75</v>
      </c>
      <c r="F2179" s="229" t="s">
        <v>76</v>
      </c>
      <c r="G2179">
        <v>14</v>
      </c>
    </row>
    <row r="2180" spans="1:7" hidden="1" x14ac:dyDescent="0.2">
      <c r="A2180" t="str">
        <f t="shared" si="38"/>
        <v>ISJAVA: Métodos de Negócio (Controller)AComplexoSimples</v>
      </c>
      <c r="B2180" s="229" t="s">
        <v>241</v>
      </c>
      <c r="C2180" s="229" t="s">
        <v>206</v>
      </c>
      <c r="D2180" s="229" t="s">
        <v>25</v>
      </c>
      <c r="E2180" s="229" t="s">
        <v>76</v>
      </c>
      <c r="F2180" s="229" t="s">
        <v>26</v>
      </c>
      <c r="G2180">
        <v>6</v>
      </c>
    </row>
    <row r="2181" spans="1:7" hidden="1" x14ac:dyDescent="0.2">
      <c r="A2181" t="str">
        <f t="shared" si="38"/>
        <v>ISJAVA: Métodos de Negócio (Controller)AComplexoMédio</v>
      </c>
      <c r="B2181" s="229" t="s">
        <v>241</v>
      </c>
      <c r="C2181" s="229" t="s">
        <v>206</v>
      </c>
      <c r="D2181" s="229" t="s">
        <v>25</v>
      </c>
      <c r="E2181" s="229" t="s">
        <v>76</v>
      </c>
      <c r="F2181" s="229" t="s">
        <v>75</v>
      </c>
      <c r="G2181">
        <v>10</v>
      </c>
    </row>
    <row r="2182" spans="1:7" hidden="1" x14ac:dyDescent="0.2">
      <c r="A2182" t="str">
        <f t="shared" si="38"/>
        <v>ISJAVA: Métodos de Negócio (Controller)AComplexoComplexo</v>
      </c>
      <c r="B2182" s="229" t="s">
        <v>241</v>
      </c>
      <c r="C2182" s="229" t="s">
        <v>206</v>
      </c>
      <c r="D2182" s="229" t="s">
        <v>25</v>
      </c>
      <c r="E2182" s="229" t="s">
        <v>76</v>
      </c>
      <c r="F2182" s="229" t="s">
        <v>76</v>
      </c>
      <c r="G2182">
        <v>16</v>
      </c>
    </row>
    <row r="2183" spans="1:7" hidden="1" x14ac:dyDescent="0.2">
      <c r="A2183" t="str">
        <f t="shared" si="38"/>
        <v>ISJAVA: EntityNSimples</v>
      </c>
      <c r="B2183" s="229" t="s">
        <v>241</v>
      </c>
      <c r="C2183" s="229" t="s">
        <v>207</v>
      </c>
      <c r="D2183" s="229" t="s">
        <v>24</v>
      </c>
      <c r="E2183" s="229" t="s">
        <v>26</v>
      </c>
      <c r="F2183" s="229"/>
      <c r="G2183">
        <v>1</v>
      </c>
    </row>
    <row r="2184" spans="1:7" hidden="1" x14ac:dyDescent="0.2">
      <c r="A2184" t="str">
        <f t="shared" si="38"/>
        <v>ISJAVA: EntityNMédio</v>
      </c>
      <c r="B2184" s="229" t="s">
        <v>241</v>
      </c>
      <c r="C2184" s="229" t="s">
        <v>207</v>
      </c>
      <c r="D2184" s="229" t="s">
        <v>24</v>
      </c>
      <c r="E2184" s="229" t="s">
        <v>75</v>
      </c>
      <c r="F2184" s="229"/>
      <c r="G2184">
        <v>2</v>
      </c>
    </row>
    <row r="2185" spans="1:7" hidden="1" x14ac:dyDescent="0.2">
      <c r="A2185" t="str">
        <f t="shared" si="38"/>
        <v>ISJAVA: EntityNComplexo</v>
      </c>
      <c r="B2185" s="229" t="s">
        <v>241</v>
      </c>
      <c r="C2185" s="229" t="s">
        <v>207</v>
      </c>
      <c r="D2185" s="229" t="s">
        <v>24</v>
      </c>
      <c r="E2185" s="229" t="s">
        <v>76</v>
      </c>
      <c r="F2185" s="229"/>
      <c r="G2185">
        <v>4</v>
      </c>
    </row>
    <row r="2186" spans="1:7" hidden="1" x14ac:dyDescent="0.2">
      <c r="A2186" t="str">
        <f t="shared" si="38"/>
        <v>ISJAVA: EntityASimplesSimples</v>
      </c>
      <c r="B2186" s="229" t="s">
        <v>241</v>
      </c>
      <c r="C2186" s="229" t="s">
        <v>207</v>
      </c>
      <c r="D2186" s="229" t="s">
        <v>25</v>
      </c>
      <c r="E2186" s="229" t="s">
        <v>26</v>
      </c>
      <c r="F2186" s="229" t="s">
        <v>26</v>
      </c>
      <c r="G2186">
        <v>1</v>
      </c>
    </row>
    <row r="2187" spans="1:7" hidden="1" x14ac:dyDescent="0.2">
      <c r="A2187" t="str">
        <f t="shared" si="38"/>
        <v>ISJAVA: EntityASimplesMédio</v>
      </c>
      <c r="B2187" s="229" t="s">
        <v>241</v>
      </c>
      <c r="C2187" s="229" t="s">
        <v>207</v>
      </c>
      <c r="D2187" s="229" t="s">
        <v>25</v>
      </c>
      <c r="E2187" s="229" t="s">
        <v>26</v>
      </c>
      <c r="F2187" s="229" t="s">
        <v>75</v>
      </c>
      <c r="G2187">
        <v>2</v>
      </c>
    </row>
    <row r="2188" spans="1:7" hidden="1" x14ac:dyDescent="0.2">
      <c r="A2188" t="str">
        <f t="shared" si="38"/>
        <v>ISJAVA: EntityASimplesComplexo</v>
      </c>
      <c r="B2188" s="229" t="s">
        <v>241</v>
      </c>
      <c r="C2188" s="229" t="s">
        <v>207</v>
      </c>
      <c r="D2188" s="229" t="s">
        <v>25</v>
      </c>
      <c r="E2188" s="229" t="s">
        <v>26</v>
      </c>
      <c r="F2188" s="229" t="s">
        <v>76</v>
      </c>
      <c r="G2188">
        <v>3</v>
      </c>
    </row>
    <row r="2189" spans="1:7" hidden="1" x14ac:dyDescent="0.2">
      <c r="A2189" t="str">
        <f t="shared" si="38"/>
        <v>ISJAVA: EntityAMédioSimples</v>
      </c>
      <c r="B2189" s="229" t="s">
        <v>241</v>
      </c>
      <c r="C2189" s="229" t="s">
        <v>207</v>
      </c>
      <c r="D2189" s="229" t="s">
        <v>25</v>
      </c>
      <c r="E2189" s="229" t="s">
        <v>75</v>
      </c>
      <c r="F2189" s="229" t="s">
        <v>26</v>
      </c>
      <c r="G2189">
        <v>2</v>
      </c>
    </row>
    <row r="2190" spans="1:7" hidden="1" x14ac:dyDescent="0.2">
      <c r="A2190" t="str">
        <f t="shared" si="38"/>
        <v>ISJAVA: EntityAMédioMédio</v>
      </c>
      <c r="B2190" s="229" t="s">
        <v>241</v>
      </c>
      <c r="C2190" s="229" t="s">
        <v>207</v>
      </c>
      <c r="D2190" s="229" t="s">
        <v>25</v>
      </c>
      <c r="E2190" s="229" t="s">
        <v>75</v>
      </c>
      <c r="F2190" s="229" t="s">
        <v>75</v>
      </c>
      <c r="G2190">
        <v>3</v>
      </c>
    </row>
    <row r="2191" spans="1:7" hidden="1" x14ac:dyDescent="0.2">
      <c r="A2191" t="str">
        <f t="shared" si="38"/>
        <v>ISJAVA: EntityAMédioComplexo</v>
      </c>
      <c r="B2191" s="229" t="s">
        <v>241</v>
      </c>
      <c r="C2191" s="229" t="s">
        <v>207</v>
      </c>
      <c r="D2191" s="229" t="s">
        <v>25</v>
      </c>
      <c r="E2191" s="229" t="s">
        <v>75</v>
      </c>
      <c r="F2191" s="229" t="s">
        <v>76</v>
      </c>
      <c r="G2191">
        <v>4</v>
      </c>
    </row>
    <row r="2192" spans="1:7" hidden="1" x14ac:dyDescent="0.2">
      <c r="A2192" t="str">
        <f t="shared" si="38"/>
        <v>ISJAVA: EntityAComplexoSimples</v>
      </c>
      <c r="B2192" s="229" t="s">
        <v>241</v>
      </c>
      <c r="C2192" s="229" t="s">
        <v>207</v>
      </c>
      <c r="D2192" s="229" t="s">
        <v>25</v>
      </c>
      <c r="E2192" s="229" t="s">
        <v>76</v>
      </c>
      <c r="F2192" s="229" t="s">
        <v>26</v>
      </c>
      <c r="G2192">
        <v>3</v>
      </c>
    </row>
    <row r="2193" spans="1:7" hidden="1" x14ac:dyDescent="0.2">
      <c r="A2193" t="str">
        <f t="shared" si="38"/>
        <v>ISJAVA: EntityAComplexoMédio</v>
      </c>
      <c r="B2193" s="229" t="s">
        <v>241</v>
      </c>
      <c r="C2193" s="229" t="s">
        <v>207</v>
      </c>
      <c r="D2193" s="229" t="s">
        <v>25</v>
      </c>
      <c r="E2193" s="229" t="s">
        <v>76</v>
      </c>
      <c r="F2193" s="229" t="s">
        <v>75</v>
      </c>
      <c r="G2193">
        <v>5</v>
      </c>
    </row>
    <row r="2194" spans="1:7" hidden="1" x14ac:dyDescent="0.2">
      <c r="A2194" t="str">
        <f t="shared" si="38"/>
        <v>ISJAVA: EntityAComplexoComplexo</v>
      </c>
      <c r="B2194" s="229" t="s">
        <v>241</v>
      </c>
      <c r="C2194" s="229" t="s">
        <v>207</v>
      </c>
      <c r="D2194" s="229" t="s">
        <v>25</v>
      </c>
      <c r="E2194" s="229" t="s">
        <v>76</v>
      </c>
      <c r="F2194" s="229" t="s">
        <v>76</v>
      </c>
      <c r="G2194">
        <v>8</v>
      </c>
    </row>
    <row r="2195" spans="1:7" hidden="1" x14ac:dyDescent="0.2">
      <c r="A2195" t="str">
        <f t="shared" si="38"/>
        <v>ISJAVA: Consulta Banco de DadosNSimples</v>
      </c>
      <c r="B2195" s="229" t="s">
        <v>241</v>
      </c>
      <c r="C2195" s="229" t="s">
        <v>208</v>
      </c>
      <c r="D2195" s="229" t="s">
        <v>24</v>
      </c>
      <c r="E2195" s="229" t="s">
        <v>26</v>
      </c>
      <c r="F2195" s="229"/>
      <c r="G2195">
        <v>2</v>
      </c>
    </row>
    <row r="2196" spans="1:7" hidden="1" x14ac:dyDescent="0.2">
      <c r="A2196" t="str">
        <f t="shared" si="38"/>
        <v>ISJAVA: Consulta Banco de DadosNMédio</v>
      </c>
      <c r="B2196" s="229" t="s">
        <v>241</v>
      </c>
      <c r="C2196" s="229" t="s">
        <v>208</v>
      </c>
      <c r="D2196" s="229" t="s">
        <v>24</v>
      </c>
      <c r="E2196" s="229" t="s">
        <v>75</v>
      </c>
      <c r="F2196" s="229"/>
      <c r="G2196">
        <v>5</v>
      </c>
    </row>
    <row r="2197" spans="1:7" hidden="1" x14ac:dyDescent="0.2">
      <c r="A2197" t="str">
        <f t="shared" si="38"/>
        <v>ISJAVA: Consulta Banco de DadosNComplexo</v>
      </c>
      <c r="B2197" s="229" t="s">
        <v>241</v>
      </c>
      <c r="C2197" s="229" t="s">
        <v>208</v>
      </c>
      <c r="D2197" s="229" t="s">
        <v>24</v>
      </c>
      <c r="E2197" s="229" t="s">
        <v>76</v>
      </c>
      <c r="F2197" s="229"/>
      <c r="G2197">
        <v>8</v>
      </c>
    </row>
    <row r="2198" spans="1:7" hidden="1" x14ac:dyDescent="0.2">
      <c r="A2198" t="str">
        <f t="shared" si="38"/>
        <v>ISJAVA: Consulta Banco de DadosASimplesSimples</v>
      </c>
      <c r="B2198" s="229" t="s">
        <v>241</v>
      </c>
      <c r="C2198" s="229" t="s">
        <v>208</v>
      </c>
      <c r="D2198" s="229" t="s">
        <v>25</v>
      </c>
      <c r="E2198" s="229" t="s">
        <v>26</v>
      </c>
      <c r="F2198" s="229" t="s">
        <v>26</v>
      </c>
      <c r="G2198">
        <v>2</v>
      </c>
    </row>
    <row r="2199" spans="1:7" hidden="1" x14ac:dyDescent="0.2">
      <c r="A2199" t="str">
        <f t="shared" si="38"/>
        <v>ISJAVA: Consulta Banco de DadosASimplesMédio</v>
      </c>
      <c r="B2199" s="229" t="s">
        <v>241</v>
      </c>
      <c r="C2199" s="229" t="s">
        <v>208</v>
      </c>
      <c r="D2199" s="229" t="s">
        <v>25</v>
      </c>
      <c r="E2199" s="229" t="s">
        <v>26</v>
      </c>
      <c r="F2199" s="229" t="s">
        <v>75</v>
      </c>
      <c r="G2199">
        <v>4</v>
      </c>
    </row>
    <row r="2200" spans="1:7" hidden="1" x14ac:dyDescent="0.2">
      <c r="A2200" t="str">
        <f t="shared" si="38"/>
        <v>ISJAVA: Consulta Banco de DadosASimplesComplexo</v>
      </c>
      <c r="B2200" s="229" t="s">
        <v>241</v>
      </c>
      <c r="C2200" s="229" t="s">
        <v>208</v>
      </c>
      <c r="D2200" s="229" t="s">
        <v>25</v>
      </c>
      <c r="E2200" s="229" t="s">
        <v>26</v>
      </c>
      <c r="F2200" s="229" t="s">
        <v>76</v>
      </c>
      <c r="G2200">
        <v>6</v>
      </c>
    </row>
    <row r="2201" spans="1:7" hidden="1" x14ac:dyDescent="0.2">
      <c r="A2201" t="str">
        <f t="shared" si="38"/>
        <v>ISJAVA: Consulta Banco de DadosAMédioSimples</v>
      </c>
      <c r="B2201" s="229" t="s">
        <v>241</v>
      </c>
      <c r="C2201" s="229" t="s">
        <v>208</v>
      </c>
      <c r="D2201" s="229" t="s">
        <v>25</v>
      </c>
      <c r="E2201" s="229" t="s">
        <v>75</v>
      </c>
      <c r="F2201" s="229" t="s">
        <v>26</v>
      </c>
      <c r="G2201">
        <v>3</v>
      </c>
    </row>
    <row r="2202" spans="1:7" hidden="1" x14ac:dyDescent="0.2">
      <c r="A2202" t="str">
        <f t="shared" si="38"/>
        <v>ISJAVA: Consulta Banco de DadosAMédioMédio</v>
      </c>
      <c r="B2202" s="229" t="s">
        <v>241</v>
      </c>
      <c r="C2202" s="229" t="s">
        <v>208</v>
      </c>
      <c r="D2202" s="229" t="s">
        <v>25</v>
      </c>
      <c r="E2202" s="229" t="s">
        <v>75</v>
      </c>
      <c r="F2202" s="229" t="s">
        <v>75</v>
      </c>
      <c r="G2202">
        <v>6</v>
      </c>
    </row>
    <row r="2203" spans="1:7" hidden="1" x14ac:dyDescent="0.2">
      <c r="A2203" t="str">
        <f t="shared" si="38"/>
        <v>ISJAVA: Consulta Banco de DadosAMédioComplexo</v>
      </c>
      <c r="B2203" s="229" t="s">
        <v>241</v>
      </c>
      <c r="C2203" s="229" t="s">
        <v>208</v>
      </c>
      <c r="D2203" s="229" t="s">
        <v>25</v>
      </c>
      <c r="E2203" s="229" t="s">
        <v>75</v>
      </c>
      <c r="F2203" s="229" t="s">
        <v>76</v>
      </c>
      <c r="G2203">
        <v>8</v>
      </c>
    </row>
    <row r="2204" spans="1:7" hidden="1" x14ac:dyDescent="0.2">
      <c r="A2204" t="str">
        <f t="shared" si="38"/>
        <v>ISJAVA: Consulta Banco de DadosAComplexoSimples</v>
      </c>
      <c r="B2204" s="229" t="s">
        <v>241</v>
      </c>
      <c r="C2204" s="229" t="s">
        <v>208</v>
      </c>
      <c r="D2204" s="229" t="s">
        <v>25</v>
      </c>
      <c r="E2204" s="229" t="s">
        <v>76</v>
      </c>
      <c r="F2204" s="229" t="s">
        <v>26</v>
      </c>
      <c r="G2204">
        <v>5</v>
      </c>
    </row>
    <row r="2205" spans="1:7" hidden="1" x14ac:dyDescent="0.2">
      <c r="A2205" t="str">
        <f t="shared" si="38"/>
        <v>ISJAVA: Consulta Banco de DadosAComplexoMédio</v>
      </c>
      <c r="B2205" s="229" t="s">
        <v>241</v>
      </c>
      <c r="C2205" s="229" t="s">
        <v>208</v>
      </c>
      <c r="D2205" s="229" t="s">
        <v>25</v>
      </c>
      <c r="E2205" s="229" t="s">
        <v>76</v>
      </c>
      <c r="F2205" s="229" t="s">
        <v>75</v>
      </c>
      <c r="G2205">
        <v>8</v>
      </c>
    </row>
    <row r="2206" spans="1:7" hidden="1" x14ac:dyDescent="0.2">
      <c r="A2206" t="str">
        <f t="shared" si="38"/>
        <v>ISJAVA: Consulta Banco de DadosAComplexoComplexo</v>
      </c>
      <c r="B2206" s="229" t="s">
        <v>241</v>
      </c>
      <c r="C2206" s="229" t="s">
        <v>208</v>
      </c>
      <c r="D2206" s="229" t="s">
        <v>25</v>
      </c>
      <c r="E2206" s="229" t="s">
        <v>76</v>
      </c>
      <c r="F2206" s="229" t="s">
        <v>76</v>
      </c>
      <c r="G2206">
        <v>10</v>
      </c>
    </row>
    <row r="2207" spans="1:7" hidden="1" x14ac:dyDescent="0.2">
      <c r="A2207" t="str">
        <f t="shared" si="38"/>
        <v>ISJAVA: Geração de StubsNSimples</v>
      </c>
      <c r="B2207" s="229" t="s">
        <v>241</v>
      </c>
      <c r="C2207" s="229" t="s">
        <v>209</v>
      </c>
      <c r="D2207" s="229" t="s">
        <v>24</v>
      </c>
      <c r="E2207" s="229" t="s">
        <v>26</v>
      </c>
      <c r="F2207" s="229"/>
      <c r="G2207">
        <v>1</v>
      </c>
    </row>
    <row r="2208" spans="1:7" hidden="1" x14ac:dyDescent="0.2">
      <c r="A2208" t="str">
        <f t="shared" si="38"/>
        <v>ISJAVA: Geração de StubsNMédio</v>
      </c>
      <c r="B2208" s="229" t="s">
        <v>241</v>
      </c>
      <c r="C2208" s="229" t="s">
        <v>209</v>
      </c>
      <c r="D2208" s="229" t="s">
        <v>24</v>
      </c>
      <c r="E2208" s="229" t="s">
        <v>75</v>
      </c>
      <c r="F2208" s="229"/>
      <c r="G2208">
        <v>3</v>
      </c>
    </row>
    <row r="2209" spans="1:7" hidden="1" x14ac:dyDescent="0.2">
      <c r="A2209" t="str">
        <f t="shared" si="38"/>
        <v>ISJAVA: Geração de StubsNComplexo</v>
      </c>
      <c r="B2209" s="229" t="s">
        <v>241</v>
      </c>
      <c r="C2209" s="229" t="s">
        <v>209</v>
      </c>
      <c r="D2209" s="229" t="s">
        <v>24</v>
      </c>
      <c r="E2209" s="229" t="s">
        <v>76</v>
      </c>
      <c r="F2209" s="229"/>
      <c r="G2209">
        <v>8</v>
      </c>
    </row>
    <row r="2210" spans="1:7" hidden="1" x14ac:dyDescent="0.2">
      <c r="A2210" t="str">
        <f t="shared" si="38"/>
        <v>ISJAVA: Geração de StubsASimplesSimples</v>
      </c>
      <c r="B2210" s="229" t="s">
        <v>241</v>
      </c>
      <c r="C2210" s="229" t="s">
        <v>209</v>
      </c>
      <c r="D2210" s="229" t="s">
        <v>25</v>
      </c>
      <c r="E2210" s="229" t="s">
        <v>26</v>
      </c>
      <c r="F2210" s="229" t="s">
        <v>26</v>
      </c>
      <c r="G2210">
        <v>1</v>
      </c>
    </row>
    <row r="2211" spans="1:7" hidden="1" x14ac:dyDescent="0.2">
      <c r="A2211" t="str">
        <f t="shared" si="38"/>
        <v>ISJAVA: Geração de StubsASimplesMédio</v>
      </c>
      <c r="B2211" s="229" t="s">
        <v>241</v>
      </c>
      <c r="C2211" s="229" t="s">
        <v>209</v>
      </c>
      <c r="D2211" s="229" t="s">
        <v>25</v>
      </c>
      <c r="E2211" s="229" t="s">
        <v>26</v>
      </c>
      <c r="F2211" s="229" t="s">
        <v>75</v>
      </c>
      <c r="G2211">
        <v>2</v>
      </c>
    </row>
    <row r="2212" spans="1:7" hidden="1" x14ac:dyDescent="0.2">
      <c r="A2212" t="str">
        <f t="shared" si="38"/>
        <v>ISJAVA: Geração de StubsASimplesComplexo</v>
      </c>
      <c r="B2212" s="229" t="s">
        <v>241</v>
      </c>
      <c r="C2212" s="229" t="s">
        <v>209</v>
      </c>
      <c r="D2212" s="229" t="s">
        <v>25</v>
      </c>
      <c r="E2212" s="229" t="s">
        <v>26</v>
      </c>
      <c r="F2212" s="229" t="s">
        <v>76</v>
      </c>
      <c r="G2212">
        <v>3</v>
      </c>
    </row>
    <row r="2213" spans="1:7" hidden="1" x14ac:dyDescent="0.2">
      <c r="A2213" t="str">
        <f t="shared" si="38"/>
        <v>ISJAVA: Geração de StubsAMédioSimples</v>
      </c>
      <c r="B2213" s="229" t="s">
        <v>241</v>
      </c>
      <c r="C2213" s="229" t="s">
        <v>209</v>
      </c>
      <c r="D2213" s="229" t="s">
        <v>25</v>
      </c>
      <c r="E2213" s="229" t="s">
        <v>75</v>
      </c>
      <c r="F2213" s="229" t="s">
        <v>26</v>
      </c>
      <c r="G2213">
        <v>2</v>
      </c>
    </row>
    <row r="2214" spans="1:7" hidden="1" x14ac:dyDescent="0.2">
      <c r="A2214" t="str">
        <f t="shared" si="38"/>
        <v>ISJAVA: Geração de StubsAMédioMédio</v>
      </c>
      <c r="B2214" s="229" t="s">
        <v>241</v>
      </c>
      <c r="C2214" s="229" t="s">
        <v>209</v>
      </c>
      <c r="D2214" s="229" t="s">
        <v>25</v>
      </c>
      <c r="E2214" s="229" t="s">
        <v>75</v>
      </c>
      <c r="F2214" s="229" t="s">
        <v>75</v>
      </c>
      <c r="G2214">
        <v>3</v>
      </c>
    </row>
    <row r="2215" spans="1:7" hidden="1" x14ac:dyDescent="0.2">
      <c r="A2215" t="str">
        <f t="shared" si="38"/>
        <v>ISJAVA: Geração de StubsAMédioComplexo</v>
      </c>
      <c r="B2215" s="229" t="s">
        <v>241</v>
      </c>
      <c r="C2215" s="229" t="s">
        <v>209</v>
      </c>
      <c r="D2215" s="229" t="s">
        <v>25</v>
      </c>
      <c r="E2215" s="229" t="s">
        <v>75</v>
      </c>
      <c r="F2215" s="229" t="s">
        <v>76</v>
      </c>
      <c r="G2215">
        <v>5</v>
      </c>
    </row>
    <row r="2216" spans="1:7" hidden="1" x14ac:dyDescent="0.2">
      <c r="A2216" t="str">
        <f t="shared" si="38"/>
        <v>ISJAVA: Geração de StubsAComplexoSimples</v>
      </c>
      <c r="B2216" s="229" t="s">
        <v>241</v>
      </c>
      <c r="C2216" s="229" t="s">
        <v>209</v>
      </c>
      <c r="D2216" s="229" t="s">
        <v>25</v>
      </c>
      <c r="E2216" s="229" t="s">
        <v>76</v>
      </c>
      <c r="F2216" s="229" t="s">
        <v>26</v>
      </c>
      <c r="G2216">
        <v>4</v>
      </c>
    </row>
    <row r="2217" spans="1:7" hidden="1" x14ac:dyDescent="0.2">
      <c r="A2217" t="str">
        <f t="shared" si="38"/>
        <v>ISJAVA: Geração de StubsAComplexoMédio</v>
      </c>
      <c r="B2217" s="229" t="s">
        <v>241</v>
      </c>
      <c r="C2217" s="229" t="s">
        <v>209</v>
      </c>
      <c r="D2217" s="229" t="s">
        <v>25</v>
      </c>
      <c r="E2217" s="229" t="s">
        <v>76</v>
      </c>
      <c r="F2217" s="229" t="s">
        <v>75</v>
      </c>
      <c r="G2217">
        <v>6</v>
      </c>
    </row>
    <row r="2218" spans="1:7" hidden="1" x14ac:dyDescent="0.2">
      <c r="A2218" t="str">
        <f t="shared" si="38"/>
        <v>ISJAVA: Geração de StubsAComplexoComplexo</v>
      </c>
      <c r="B2218" s="229" t="s">
        <v>241</v>
      </c>
      <c r="C2218" s="229" t="s">
        <v>209</v>
      </c>
      <c r="D2218" s="229" t="s">
        <v>25</v>
      </c>
      <c r="E2218" s="229" t="s">
        <v>76</v>
      </c>
      <c r="F2218" s="229" t="s">
        <v>76</v>
      </c>
      <c r="G2218">
        <v>8</v>
      </c>
    </row>
    <row r="2219" spans="1:7" hidden="1" x14ac:dyDescent="0.2">
      <c r="A2219" t="str">
        <f t="shared" si="38"/>
        <v>ISJSPNSimples</v>
      </c>
      <c r="B2219" s="229" t="s">
        <v>241</v>
      </c>
      <c r="C2219" s="229" t="s">
        <v>210</v>
      </c>
      <c r="D2219" s="229" t="s">
        <v>24</v>
      </c>
      <c r="E2219" s="229" t="s">
        <v>26</v>
      </c>
      <c r="F2219" s="229"/>
      <c r="G2219">
        <v>12</v>
      </c>
    </row>
    <row r="2220" spans="1:7" hidden="1" x14ac:dyDescent="0.2">
      <c r="A2220" t="str">
        <f t="shared" si="38"/>
        <v>ISJSPNMédio</v>
      </c>
      <c r="B2220" s="229" t="s">
        <v>241</v>
      </c>
      <c r="C2220" s="229" t="s">
        <v>210</v>
      </c>
      <c r="D2220" s="229" t="s">
        <v>24</v>
      </c>
      <c r="E2220" s="229" t="s">
        <v>75</v>
      </c>
      <c r="F2220" s="229"/>
      <c r="G2220">
        <v>18</v>
      </c>
    </row>
    <row r="2221" spans="1:7" hidden="1" x14ac:dyDescent="0.2">
      <c r="A2221" t="str">
        <f t="shared" si="38"/>
        <v>ISJSPNComplexo</v>
      </c>
      <c r="B2221" s="229" t="s">
        <v>241</v>
      </c>
      <c r="C2221" s="229" t="s">
        <v>210</v>
      </c>
      <c r="D2221" s="229" t="s">
        <v>24</v>
      </c>
      <c r="E2221" s="229" t="s">
        <v>76</v>
      </c>
      <c r="F2221" s="229"/>
      <c r="G2221">
        <v>24</v>
      </c>
    </row>
    <row r="2222" spans="1:7" hidden="1" x14ac:dyDescent="0.2">
      <c r="A2222" t="str">
        <f t="shared" si="38"/>
        <v>ISJSPASimplesSimples</v>
      </c>
      <c r="B2222" s="229" t="s">
        <v>241</v>
      </c>
      <c r="C2222" s="229" t="s">
        <v>210</v>
      </c>
      <c r="D2222" s="229" t="s">
        <v>25</v>
      </c>
      <c r="E2222" s="229" t="s">
        <v>26</v>
      </c>
      <c r="F2222" s="229" t="s">
        <v>26</v>
      </c>
      <c r="G2222">
        <v>5</v>
      </c>
    </row>
    <row r="2223" spans="1:7" hidden="1" x14ac:dyDescent="0.2">
      <c r="A2223" t="str">
        <f t="shared" si="38"/>
        <v>ISJSPASimplesMédio</v>
      </c>
      <c r="B2223" s="229" t="s">
        <v>241</v>
      </c>
      <c r="C2223" s="229" t="s">
        <v>210</v>
      </c>
      <c r="D2223" s="229" t="s">
        <v>25</v>
      </c>
      <c r="E2223" s="229" t="s">
        <v>26</v>
      </c>
      <c r="F2223" s="229" t="s">
        <v>75</v>
      </c>
      <c r="G2223">
        <v>8</v>
      </c>
    </row>
    <row r="2224" spans="1:7" hidden="1" x14ac:dyDescent="0.2">
      <c r="A2224" t="str">
        <f t="shared" si="38"/>
        <v>ISJSPASimplesComplexo</v>
      </c>
      <c r="B2224" s="229" t="s">
        <v>241</v>
      </c>
      <c r="C2224" s="229" t="s">
        <v>210</v>
      </c>
      <c r="D2224" s="229" t="s">
        <v>25</v>
      </c>
      <c r="E2224" s="229" t="s">
        <v>26</v>
      </c>
      <c r="F2224" s="229" t="s">
        <v>76</v>
      </c>
      <c r="G2224">
        <v>10</v>
      </c>
    </row>
    <row r="2225" spans="1:7" hidden="1" x14ac:dyDescent="0.2">
      <c r="A2225" t="str">
        <f t="shared" si="38"/>
        <v>ISJSPAMédioSimples</v>
      </c>
      <c r="B2225" s="229" t="s">
        <v>241</v>
      </c>
      <c r="C2225" s="229" t="s">
        <v>210</v>
      </c>
      <c r="D2225" s="229" t="s">
        <v>25</v>
      </c>
      <c r="E2225" s="229" t="s">
        <v>75</v>
      </c>
      <c r="F2225" s="229" t="s">
        <v>26</v>
      </c>
      <c r="G2225">
        <v>8</v>
      </c>
    </row>
    <row r="2226" spans="1:7" hidden="1" x14ac:dyDescent="0.2">
      <c r="A2226" t="str">
        <f t="shared" si="38"/>
        <v>ISJSPAMédioMédio</v>
      </c>
      <c r="B2226" s="229" t="s">
        <v>241</v>
      </c>
      <c r="C2226" s="229" t="s">
        <v>210</v>
      </c>
      <c r="D2226" s="229" t="s">
        <v>25</v>
      </c>
      <c r="E2226" s="229" t="s">
        <v>75</v>
      </c>
      <c r="F2226" s="229" t="s">
        <v>75</v>
      </c>
      <c r="G2226">
        <v>10</v>
      </c>
    </row>
    <row r="2227" spans="1:7" hidden="1" x14ac:dyDescent="0.2">
      <c r="A2227" t="str">
        <f t="shared" si="38"/>
        <v>ISJSPAMédioComplexo</v>
      </c>
      <c r="B2227" s="229" t="s">
        <v>241</v>
      </c>
      <c r="C2227" s="229" t="s">
        <v>210</v>
      </c>
      <c r="D2227" s="229" t="s">
        <v>25</v>
      </c>
      <c r="E2227" s="229" t="s">
        <v>75</v>
      </c>
      <c r="F2227" s="229" t="s">
        <v>76</v>
      </c>
      <c r="G2227">
        <v>12</v>
      </c>
    </row>
    <row r="2228" spans="1:7" hidden="1" x14ac:dyDescent="0.2">
      <c r="A2228" t="str">
        <f t="shared" si="38"/>
        <v>ISJSPAComplexoSimples</v>
      </c>
      <c r="B2228" s="229" t="s">
        <v>241</v>
      </c>
      <c r="C2228" s="229" t="s">
        <v>210</v>
      </c>
      <c r="D2228" s="229" t="s">
        <v>25</v>
      </c>
      <c r="E2228" s="229" t="s">
        <v>76</v>
      </c>
      <c r="F2228" s="229" t="s">
        <v>26</v>
      </c>
      <c r="G2228">
        <v>6</v>
      </c>
    </row>
    <row r="2229" spans="1:7" hidden="1" x14ac:dyDescent="0.2">
      <c r="A2229" t="str">
        <f t="shared" si="38"/>
        <v>ISJSPAComplexoMédio</v>
      </c>
      <c r="B2229" s="229" t="s">
        <v>241</v>
      </c>
      <c r="C2229" s="229" t="s">
        <v>210</v>
      </c>
      <c r="D2229" s="229" t="s">
        <v>25</v>
      </c>
      <c r="E2229" s="229" t="s">
        <v>76</v>
      </c>
      <c r="F2229" s="229" t="s">
        <v>75</v>
      </c>
      <c r="G2229">
        <v>12</v>
      </c>
    </row>
    <row r="2230" spans="1:7" hidden="1" x14ac:dyDescent="0.2">
      <c r="A2230" t="str">
        <f t="shared" si="38"/>
        <v>ISJSPAComplexoComplexo</v>
      </c>
      <c r="B2230" s="229" t="s">
        <v>241</v>
      </c>
      <c r="C2230" s="229" t="s">
        <v>210</v>
      </c>
      <c r="D2230" s="229" t="s">
        <v>25</v>
      </c>
      <c r="E2230" s="229" t="s">
        <v>76</v>
      </c>
      <c r="F2230" s="229" t="s">
        <v>76</v>
      </c>
      <c r="G2230">
        <v>22</v>
      </c>
    </row>
    <row r="2231" spans="1:7" hidden="1" x14ac:dyDescent="0.2">
      <c r="A2231" t="str">
        <f t="shared" si="38"/>
        <v>ISConfiguração Projeto/MóduloNSimples</v>
      </c>
      <c r="B2231" s="229" t="s">
        <v>241</v>
      </c>
      <c r="C2231" s="229" t="s">
        <v>221</v>
      </c>
      <c r="D2231" s="229" t="s">
        <v>24</v>
      </c>
      <c r="E2231" s="229" t="s">
        <v>26</v>
      </c>
      <c r="F2231" s="229"/>
      <c r="G2231">
        <v>2</v>
      </c>
    </row>
    <row r="2232" spans="1:7" hidden="1" x14ac:dyDescent="0.2">
      <c r="A2232" t="str">
        <f t="shared" si="38"/>
        <v>ISConfiguração Projeto/MóduloNMédio</v>
      </c>
      <c r="B2232" s="229" t="s">
        <v>241</v>
      </c>
      <c r="C2232" s="229" t="s">
        <v>221</v>
      </c>
      <c r="D2232" s="229" t="s">
        <v>24</v>
      </c>
      <c r="E2232" s="229" t="s">
        <v>75</v>
      </c>
      <c r="F2232" s="229"/>
      <c r="G2232">
        <v>4</v>
      </c>
    </row>
    <row r="2233" spans="1:7" hidden="1" x14ac:dyDescent="0.2">
      <c r="A2233" t="str">
        <f t="shared" si="38"/>
        <v>ISConfiguração Projeto/MóduloNComplexo</v>
      </c>
      <c r="B2233" s="229" t="s">
        <v>241</v>
      </c>
      <c r="C2233" s="229" t="s">
        <v>221</v>
      </c>
      <c r="D2233" s="229" t="s">
        <v>24</v>
      </c>
      <c r="E2233" s="229" t="s">
        <v>76</v>
      </c>
      <c r="F2233" s="229"/>
      <c r="G2233">
        <v>8</v>
      </c>
    </row>
    <row r="2234" spans="1:7" hidden="1" x14ac:dyDescent="0.2">
      <c r="A2234" t="str">
        <f t="shared" si="38"/>
        <v>ISConfiguração Projeto/MóduloASimplesSimples</v>
      </c>
      <c r="B2234" s="229" t="s">
        <v>241</v>
      </c>
      <c r="C2234" s="229" t="s">
        <v>221</v>
      </c>
      <c r="D2234" s="229" t="s">
        <v>25</v>
      </c>
      <c r="E2234" s="229" t="s">
        <v>26</v>
      </c>
      <c r="F2234" s="229" t="s">
        <v>26</v>
      </c>
      <c r="G2234">
        <v>1</v>
      </c>
    </row>
    <row r="2235" spans="1:7" hidden="1" x14ac:dyDescent="0.2">
      <c r="A2235" t="str">
        <f t="shared" si="38"/>
        <v>ISConfiguração Projeto/MóduloASimplesMédio</v>
      </c>
      <c r="B2235" s="229" t="s">
        <v>241</v>
      </c>
      <c r="C2235" s="229" t="s">
        <v>221</v>
      </c>
      <c r="D2235" s="229" t="s">
        <v>25</v>
      </c>
      <c r="E2235" s="229" t="s">
        <v>26</v>
      </c>
      <c r="F2235" s="229" t="s">
        <v>75</v>
      </c>
      <c r="G2235">
        <v>2</v>
      </c>
    </row>
    <row r="2236" spans="1:7" hidden="1" x14ac:dyDescent="0.2">
      <c r="A2236" t="str">
        <f t="shared" si="38"/>
        <v>ISConfiguração Projeto/MóduloASimplesComplexo</v>
      </c>
      <c r="B2236" s="229" t="s">
        <v>241</v>
      </c>
      <c r="C2236" s="229" t="s">
        <v>221</v>
      </c>
      <c r="D2236" s="229" t="s">
        <v>25</v>
      </c>
      <c r="E2236" s="229" t="s">
        <v>26</v>
      </c>
      <c r="F2236" s="229" t="s">
        <v>76</v>
      </c>
      <c r="G2236">
        <v>4</v>
      </c>
    </row>
    <row r="2237" spans="1:7" hidden="1" x14ac:dyDescent="0.2">
      <c r="A2237" t="str">
        <f t="shared" si="38"/>
        <v>ISConfiguração Projeto/MóduloAMédioSimples</v>
      </c>
      <c r="B2237" s="229" t="s">
        <v>241</v>
      </c>
      <c r="C2237" s="229" t="s">
        <v>221</v>
      </c>
      <c r="D2237" s="229" t="s">
        <v>25</v>
      </c>
      <c r="E2237" s="229" t="s">
        <v>75</v>
      </c>
      <c r="F2237" s="229" t="s">
        <v>26</v>
      </c>
      <c r="G2237">
        <v>2</v>
      </c>
    </row>
    <row r="2238" spans="1:7" hidden="1" x14ac:dyDescent="0.2">
      <c r="A2238" t="str">
        <f t="shared" si="38"/>
        <v>ISConfiguração Projeto/MóduloAMédioMédio</v>
      </c>
      <c r="B2238" s="229" t="s">
        <v>241</v>
      </c>
      <c r="C2238" s="229" t="s">
        <v>221</v>
      </c>
      <c r="D2238" s="229" t="s">
        <v>25</v>
      </c>
      <c r="E2238" s="229" t="s">
        <v>75</v>
      </c>
      <c r="F2238" s="229" t="s">
        <v>75</v>
      </c>
      <c r="G2238">
        <v>4</v>
      </c>
    </row>
    <row r="2239" spans="1:7" hidden="1" x14ac:dyDescent="0.2">
      <c r="A2239" t="str">
        <f t="shared" si="38"/>
        <v>ISConfiguração Projeto/MóduloAMédioComplexo</v>
      </c>
      <c r="B2239" s="229" t="s">
        <v>241</v>
      </c>
      <c r="C2239" s="229" t="s">
        <v>221</v>
      </c>
      <c r="D2239" s="229" t="s">
        <v>25</v>
      </c>
      <c r="E2239" s="229" t="s">
        <v>75</v>
      </c>
      <c r="F2239" s="229" t="s">
        <v>76</v>
      </c>
      <c r="G2239">
        <v>5</v>
      </c>
    </row>
    <row r="2240" spans="1:7" hidden="1" x14ac:dyDescent="0.2">
      <c r="A2240" t="str">
        <f t="shared" si="38"/>
        <v>ISConfiguração Projeto/MóduloAComplexoSimples</v>
      </c>
      <c r="B2240" s="229" t="s">
        <v>241</v>
      </c>
      <c r="C2240" s="229" t="s">
        <v>221</v>
      </c>
      <c r="D2240" s="229" t="s">
        <v>25</v>
      </c>
      <c r="E2240" s="229" t="s">
        <v>76</v>
      </c>
      <c r="F2240" s="229" t="s">
        <v>26</v>
      </c>
      <c r="G2240">
        <v>5</v>
      </c>
    </row>
    <row r="2241" spans="1:7" hidden="1" x14ac:dyDescent="0.2">
      <c r="A2241" t="str">
        <f t="shared" ref="A2241:A2242" si="39">B2241&amp;C2241&amp;D2241&amp;E2241&amp;F2241</f>
        <v>ISConfiguração Projeto/MóduloAComplexoMédio</v>
      </c>
      <c r="B2241" s="229" t="s">
        <v>241</v>
      </c>
      <c r="C2241" s="229" t="s">
        <v>221</v>
      </c>
      <c r="D2241" s="229" t="s">
        <v>25</v>
      </c>
      <c r="E2241" s="229" t="s">
        <v>76</v>
      </c>
      <c r="F2241" s="229" t="s">
        <v>75</v>
      </c>
      <c r="G2241">
        <v>7</v>
      </c>
    </row>
    <row r="2242" spans="1:7" hidden="1" x14ac:dyDescent="0.2">
      <c r="A2242" t="str">
        <f t="shared" si="39"/>
        <v>ISConfiguração Projeto/MóduloAComplexoComplexo</v>
      </c>
      <c r="B2242" s="229" t="s">
        <v>241</v>
      </c>
      <c r="C2242" s="229" t="s">
        <v>221</v>
      </c>
      <c r="D2242" s="229" t="s">
        <v>25</v>
      </c>
      <c r="E2242" s="229" t="s">
        <v>76</v>
      </c>
      <c r="F2242" s="229" t="s">
        <v>76</v>
      </c>
      <c r="G2242">
        <v>8</v>
      </c>
    </row>
    <row r="2243" spans="1:7" x14ac:dyDescent="0.2">
      <c r="A2243" s="229" t="s">
        <v>350</v>
      </c>
      <c r="B2243" s="229" t="s">
        <v>214</v>
      </c>
      <c r="C2243" s="229" t="s">
        <v>210</v>
      </c>
      <c r="D2243" s="229" t="s">
        <v>24</v>
      </c>
      <c r="E2243" s="229" t="s">
        <v>26</v>
      </c>
      <c r="F2243" s="229"/>
      <c r="G2243">
        <v>12</v>
      </c>
    </row>
    <row r="2244" spans="1:7" x14ac:dyDescent="0.2">
      <c r="A2244" s="229" t="s">
        <v>362</v>
      </c>
      <c r="B2244" s="229" t="s">
        <v>214</v>
      </c>
      <c r="C2244" s="229" t="s">
        <v>210</v>
      </c>
      <c r="D2244" s="229" t="s">
        <v>24</v>
      </c>
      <c r="E2244" s="229" t="s">
        <v>75</v>
      </c>
      <c r="F2244" s="229"/>
      <c r="G2244">
        <v>18</v>
      </c>
    </row>
    <row r="2245" spans="1:7" x14ac:dyDescent="0.2">
      <c r="A2245" s="229" t="s">
        <v>352</v>
      </c>
      <c r="B2245" s="229" t="s">
        <v>214</v>
      </c>
      <c r="C2245" s="229" t="s">
        <v>210</v>
      </c>
      <c r="D2245" s="229" t="s">
        <v>24</v>
      </c>
      <c r="E2245" s="229" t="s">
        <v>76</v>
      </c>
      <c r="F2245" s="229"/>
      <c r="G2245">
        <v>24</v>
      </c>
    </row>
    <row r="2246" spans="1:7" x14ac:dyDescent="0.2">
      <c r="A2246" s="229" t="s">
        <v>353</v>
      </c>
      <c r="B2246" s="229" t="s">
        <v>214</v>
      </c>
      <c r="C2246" s="229" t="s">
        <v>210</v>
      </c>
      <c r="D2246" s="229" t="s">
        <v>25</v>
      </c>
      <c r="E2246" s="229" t="s">
        <v>26</v>
      </c>
      <c r="F2246" s="229" t="s">
        <v>26</v>
      </c>
      <c r="G2246">
        <v>5</v>
      </c>
    </row>
    <row r="2247" spans="1:7" x14ac:dyDescent="0.2">
      <c r="A2247" s="229" t="s">
        <v>354</v>
      </c>
      <c r="B2247" s="229" t="s">
        <v>214</v>
      </c>
      <c r="C2247" s="229" t="s">
        <v>210</v>
      </c>
      <c r="D2247" s="229" t="s">
        <v>25</v>
      </c>
      <c r="E2247" s="229" t="s">
        <v>26</v>
      </c>
      <c r="F2247" s="229" t="s">
        <v>75</v>
      </c>
      <c r="G2247">
        <v>8</v>
      </c>
    </row>
    <row r="2248" spans="1:7" x14ac:dyDescent="0.2">
      <c r="A2248" s="229" t="s">
        <v>355</v>
      </c>
      <c r="B2248" s="229" t="s">
        <v>214</v>
      </c>
      <c r="C2248" s="229" t="s">
        <v>210</v>
      </c>
      <c r="D2248" s="229" t="s">
        <v>25</v>
      </c>
      <c r="E2248" s="229" t="s">
        <v>26</v>
      </c>
      <c r="F2248" s="229" t="s">
        <v>76</v>
      </c>
      <c r="G2248">
        <v>10</v>
      </c>
    </row>
    <row r="2249" spans="1:7" x14ac:dyDescent="0.2">
      <c r="A2249" s="229" t="s">
        <v>363</v>
      </c>
      <c r="B2249" s="229" t="s">
        <v>214</v>
      </c>
      <c r="C2249" s="229" t="s">
        <v>210</v>
      </c>
      <c r="D2249" s="229" t="s">
        <v>25</v>
      </c>
      <c r="E2249" s="229" t="s">
        <v>75</v>
      </c>
      <c r="F2249" s="229" t="s">
        <v>26</v>
      </c>
      <c r="G2249">
        <v>8</v>
      </c>
    </row>
    <row r="2250" spans="1:7" x14ac:dyDescent="0.2">
      <c r="A2250" s="229" t="s">
        <v>364</v>
      </c>
      <c r="B2250" s="229" t="s">
        <v>214</v>
      </c>
      <c r="C2250" s="229" t="s">
        <v>210</v>
      </c>
      <c r="D2250" s="229" t="s">
        <v>25</v>
      </c>
      <c r="E2250" s="229" t="s">
        <v>75</v>
      </c>
      <c r="F2250" s="229" t="s">
        <v>75</v>
      </c>
      <c r="G2250">
        <v>10</v>
      </c>
    </row>
    <row r="2251" spans="1:7" x14ac:dyDescent="0.2">
      <c r="A2251" s="229" t="s">
        <v>365</v>
      </c>
      <c r="B2251" s="229" t="s">
        <v>214</v>
      </c>
      <c r="C2251" s="229" t="s">
        <v>210</v>
      </c>
      <c r="D2251" s="229" t="s">
        <v>25</v>
      </c>
      <c r="E2251" s="229" t="s">
        <v>75</v>
      </c>
      <c r="F2251" s="229" t="s">
        <v>76</v>
      </c>
      <c r="G2251">
        <v>12</v>
      </c>
    </row>
    <row r="2252" spans="1:7" x14ac:dyDescent="0.2">
      <c r="A2252" s="229" t="s">
        <v>359</v>
      </c>
      <c r="B2252" s="229" t="s">
        <v>214</v>
      </c>
      <c r="C2252" s="229" t="s">
        <v>210</v>
      </c>
      <c r="D2252" s="229" t="s">
        <v>25</v>
      </c>
      <c r="E2252" s="229" t="s">
        <v>76</v>
      </c>
      <c r="F2252" s="229" t="s">
        <v>26</v>
      </c>
      <c r="G2252">
        <v>6</v>
      </c>
    </row>
    <row r="2253" spans="1:7" x14ac:dyDescent="0.2">
      <c r="A2253" s="229" t="s">
        <v>366</v>
      </c>
      <c r="B2253" s="229" t="s">
        <v>214</v>
      </c>
      <c r="C2253" s="229" t="s">
        <v>210</v>
      </c>
      <c r="D2253" s="229" t="s">
        <v>25</v>
      </c>
      <c r="E2253" s="229" t="s">
        <v>76</v>
      </c>
      <c r="F2253" s="229" t="s">
        <v>75</v>
      </c>
      <c r="G2253">
        <v>12</v>
      </c>
    </row>
    <row r="2254" spans="1:7" x14ac:dyDescent="0.2">
      <c r="A2254" s="229" t="s">
        <v>361</v>
      </c>
      <c r="B2254" s="229" t="s">
        <v>214</v>
      </c>
      <c r="C2254" s="229" t="s">
        <v>210</v>
      </c>
      <c r="D2254" s="229" t="s">
        <v>25</v>
      </c>
      <c r="E2254" s="229" t="s">
        <v>76</v>
      </c>
      <c r="F2254" s="229" t="s">
        <v>76</v>
      </c>
      <c r="G2254">
        <v>22</v>
      </c>
    </row>
  </sheetData>
  <autoFilter ref="B1:H2242">
    <filterColumn colId="0">
      <filters>
        <filter val="WFM"/>
      </filters>
    </filterColumn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L645"/>
  <sheetViews>
    <sheetView zoomScale="90" zoomScaleNormal="90" zoomScaleSheetLayoutView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2.75" x14ac:dyDescent="0.2"/>
  <cols>
    <col min="1" max="1" width="53.28515625" bestFit="1" customWidth="1"/>
    <col min="2" max="2" width="8.85546875" customWidth="1"/>
    <col min="3" max="3" width="19" customWidth="1"/>
    <col min="4" max="4" width="8.28515625" style="1" bestFit="1" customWidth="1"/>
    <col min="5" max="5" width="6" style="1" bestFit="1" customWidth="1"/>
    <col min="6" max="6" width="9.28515625" style="1" bestFit="1" customWidth="1"/>
    <col min="7" max="9" width="30.7109375" customWidth="1"/>
    <col min="10" max="10" width="1.7109375" customWidth="1"/>
    <col min="11" max="11" width="18.42578125" bestFit="1" customWidth="1"/>
    <col min="12" max="12" width="35.42578125" bestFit="1" customWidth="1"/>
  </cols>
  <sheetData>
    <row r="1" spans="1:12" ht="19.5" thickBot="1" x14ac:dyDescent="0.35">
      <c r="A1" s="374" t="s">
        <v>83</v>
      </c>
      <c r="B1" s="375"/>
      <c r="C1" s="375"/>
      <c r="D1" s="375"/>
      <c r="E1" s="375"/>
      <c r="F1" s="376"/>
      <c r="G1" s="374" t="s">
        <v>36</v>
      </c>
      <c r="H1" s="375"/>
      <c r="I1" s="376"/>
    </row>
    <row r="2" spans="1:12" ht="13.5" thickBot="1" x14ac:dyDescent="0.25"/>
    <row r="3" spans="1:12" ht="13.5" thickBot="1" x14ac:dyDescent="0.25">
      <c r="A3" s="3" t="s">
        <v>79</v>
      </c>
      <c r="B3" s="356" t="s">
        <v>82</v>
      </c>
      <c r="C3" s="357"/>
      <c r="D3" s="2" t="s">
        <v>74</v>
      </c>
      <c r="E3" s="2" t="s">
        <v>75</v>
      </c>
      <c r="F3" s="4" t="s">
        <v>76</v>
      </c>
      <c r="G3" s="2" t="s">
        <v>74</v>
      </c>
      <c r="H3" s="3" t="s">
        <v>75</v>
      </c>
      <c r="I3" s="4" t="s">
        <v>76</v>
      </c>
      <c r="K3" s="228" t="s">
        <v>20</v>
      </c>
      <c r="L3" s="3" t="s">
        <v>198</v>
      </c>
    </row>
    <row r="4" spans="1:12" ht="13.5" thickBot="1" x14ac:dyDescent="0.25">
      <c r="A4" s="358" t="str">
        <f>CONCATENATE(K4," - ",L4)</f>
        <v>NECService - Regra Drools</v>
      </c>
      <c r="B4" s="361" t="s">
        <v>80</v>
      </c>
      <c r="C4" s="362"/>
      <c r="D4" s="217"/>
      <c r="E4" s="217"/>
      <c r="F4" s="218"/>
      <c r="G4" s="55" t="s">
        <v>192</v>
      </c>
      <c r="H4" s="220" t="s">
        <v>192</v>
      </c>
      <c r="I4" s="55" t="s">
        <v>192</v>
      </c>
      <c r="K4" s="373" t="s">
        <v>199</v>
      </c>
      <c r="L4" s="373" t="s">
        <v>200</v>
      </c>
    </row>
    <row r="5" spans="1:12" ht="13.5" thickBot="1" x14ac:dyDescent="0.25">
      <c r="A5" s="359"/>
      <c r="B5" s="363" t="s">
        <v>78</v>
      </c>
      <c r="C5" s="364"/>
      <c r="D5" s="210" t="s">
        <v>74</v>
      </c>
      <c r="E5" s="2" t="s">
        <v>75</v>
      </c>
      <c r="F5" s="4" t="s">
        <v>76</v>
      </c>
      <c r="G5" s="3" t="s">
        <v>74</v>
      </c>
      <c r="H5" s="3" t="s">
        <v>75</v>
      </c>
      <c r="I5" s="3" t="s">
        <v>76</v>
      </c>
      <c r="K5" s="371"/>
      <c r="L5" s="371"/>
    </row>
    <row r="6" spans="1:12" x14ac:dyDescent="0.2">
      <c r="A6" s="359"/>
      <c r="B6" s="365" t="s">
        <v>81</v>
      </c>
      <c r="C6" s="214" t="s">
        <v>74</v>
      </c>
      <c r="D6" s="211"/>
      <c r="E6" s="13"/>
      <c r="F6" s="14"/>
      <c r="G6" s="56" t="s">
        <v>192</v>
      </c>
      <c r="H6" s="56" t="s">
        <v>192</v>
      </c>
      <c r="I6" s="221" t="s">
        <v>192</v>
      </c>
      <c r="K6" s="371"/>
      <c r="L6" s="371"/>
    </row>
    <row r="7" spans="1:12" x14ac:dyDescent="0.2">
      <c r="A7" s="359"/>
      <c r="B7" s="366"/>
      <c r="C7" s="215" t="s">
        <v>75</v>
      </c>
      <c r="D7" s="212"/>
      <c r="E7" s="15"/>
      <c r="F7" s="16"/>
      <c r="G7" s="56" t="s">
        <v>192</v>
      </c>
      <c r="H7" s="219" t="s">
        <v>192</v>
      </c>
      <c r="I7" s="56" t="s">
        <v>192</v>
      </c>
      <c r="K7" s="371"/>
      <c r="L7" s="371"/>
    </row>
    <row r="8" spans="1:12" ht="13.5" thickBot="1" x14ac:dyDescent="0.25">
      <c r="A8" s="360"/>
      <c r="B8" s="367"/>
      <c r="C8" s="216" t="s">
        <v>76</v>
      </c>
      <c r="D8" s="213"/>
      <c r="E8" s="17"/>
      <c r="F8" s="18"/>
      <c r="G8" s="209" t="s">
        <v>192</v>
      </c>
      <c r="H8" s="57" t="s">
        <v>192</v>
      </c>
      <c r="I8" s="57" t="s">
        <v>192</v>
      </c>
      <c r="K8" s="372"/>
      <c r="L8" s="372"/>
    </row>
    <row r="9" spans="1:12" ht="13.5" thickBot="1" x14ac:dyDescent="0.25"/>
    <row r="10" spans="1:12" ht="13.5" thickBot="1" x14ac:dyDescent="0.25">
      <c r="A10" s="3" t="s">
        <v>79</v>
      </c>
      <c r="B10" s="356" t="s">
        <v>82</v>
      </c>
      <c r="C10" s="357"/>
      <c r="D10" s="2" t="s">
        <v>74</v>
      </c>
      <c r="E10" s="2" t="s">
        <v>75</v>
      </c>
      <c r="F10" s="4" t="s">
        <v>76</v>
      </c>
      <c r="G10" s="2" t="s">
        <v>74</v>
      </c>
      <c r="H10" s="3" t="s">
        <v>75</v>
      </c>
      <c r="I10" s="4" t="s">
        <v>76</v>
      </c>
      <c r="K10" s="228" t="s">
        <v>20</v>
      </c>
      <c r="L10" s="3" t="s">
        <v>198</v>
      </c>
    </row>
    <row r="11" spans="1:12" ht="13.5" thickBot="1" x14ac:dyDescent="0.25">
      <c r="A11" s="358" t="str">
        <f t="shared" ref="A11" si="0">CONCATENATE(K11," - ",L11)</f>
        <v>NECService - Junit</v>
      </c>
      <c r="B11" s="361" t="s">
        <v>80</v>
      </c>
      <c r="C11" s="362"/>
      <c r="D11" s="217"/>
      <c r="E11" s="217"/>
      <c r="F11" s="218"/>
      <c r="G11" s="55" t="s">
        <v>192</v>
      </c>
      <c r="H11" s="220" t="s">
        <v>192</v>
      </c>
      <c r="I11" s="55" t="s">
        <v>192</v>
      </c>
      <c r="K11" s="373" t="str">
        <f>$K$4</f>
        <v>NECService</v>
      </c>
      <c r="L11" s="368" t="s">
        <v>201</v>
      </c>
    </row>
    <row r="12" spans="1:12" ht="13.5" thickBot="1" x14ac:dyDescent="0.25">
      <c r="A12" s="359"/>
      <c r="B12" s="363" t="s">
        <v>78</v>
      </c>
      <c r="C12" s="364"/>
      <c r="D12" s="210" t="s">
        <v>74</v>
      </c>
      <c r="E12" s="2" t="s">
        <v>75</v>
      </c>
      <c r="F12" s="4" t="s">
        <v>76</v>
      </c>
      <c r="G12" s="3" t="s">
        <v>74</v>
      </c>
      <c r="H12" s="3" t="s">
        <v>75</v>
      </c>
      <c r="I12" s="3" t="s">
        <v>76</v>
      </c>
      <c r="K12" s="371"/>
      <c r="L12" s="371"/>
    </row>
    <row r="13" spans="1:12" x14ac:dyDescent="0.2">
      <c r="A13" s="359"/>
      <c r="B13" s="365" t="s">
        <v>81</v>
      </c>
      <c r="C13" s="214" t="s">
        <v>74</v>
      </c>
      <c r="D13" s="211"/>
      <c r="E13" s="13"/>
      <c r="F13" s="14"/>
      <c r="G13" s="56" t="s">
        <v>192</v>
      </c>
      <c r="H13" s="56" t="s">
        <v>192</v>
      </c>
      <c r="I13" s="221" t="s">
        <v>192</v>
      </c>
      <c r="K13" s="371"/>
      <c r="L13" s="371"/>
    </row>
    <row r="14" spans="1:12" x14ac:dyDescent="0.2">
      <c r="A14" s="359"/>
      <c r="B14" s="366"/>
      <c r="C14" s="215" t="s">
        <v>75</v>
      </c>
      <c r="D14" s="212"/>
      <c r="E14" s="15"/>
      <c r="F14" s="16"/>
      <c r="G14" s="56" t="s">
        <v>192</v>
      </c>
      <c r="H14" s="219" t="s">
        <v>192</v>
      </c>
      <c r="I14" s="56" t="s">
        <v>192</v>
      </c>
      <c r="K14" s="371"/>
      <c r="L14" s="371"/>
    </row>
    <row r="15" spans="1:12" ht="13.5" thickBot="1" x14ac:dyDescent="0.25">
      <c r="A15" s="360"/>
      <c r="B15" s="367"/>
      <c r="C15" s="216" t="s">
        <v>76</v>
      </c>
      <c r="D15" s="213"/>
      <c r="E15" s="17"/>
      <c r="F15" s="18"/>
      <c r="G15" s="209" t="s">
        <v>192</v>
      </c>
      <c r="H15" s="57" t="s">
        <v>192</v>
      </c>
      <c r="I15" s="57" t="s">
        <v>192</v>
      </c>
      <c r="K15" s="372"/>
      <c r="L15" s="372"/>
    </row>
    <row r="16" spans="1:12" ht="13.5" thickBot="1" x14ac:dyDescent="0.25"/>
    <row r="17" spans="1:12" ht="13.5" thickBot="1" x14ac:dyDescent="0.25">
      <c r="A17" s="3" t="s">
        <v>79</v>
      </c>
      <c r="B17" s="356" t="s">
        <v>82</v>
      </c>
      <c r="C17" s="357"/>
      <c r="D17" s="2" t="s">
        <v>74</v>
      </c>
      <c r="E17" s="2" t="s">
        <v>75</v>
      </c>
      <c r="F17" s="4" t="s">
        <v>76</v>
      </c>
      <c r="G17" s="2" t="s">
        <v>74</v>
      </c>
      <c r="H17" s="3" t="s">
        <v>75</v>
      </c>
      <c r="I17" s="4" t="s">
        <v>76</v>
      </c>
      <c r="K17" s="228" t="s">
        <v>20</v>
      </c>
      <c r="L17" s="3" t="s">
        <v>198</v>
      </c>
    </row>
    <row r="18" spans="1:12" ht="13.5" thickBot="1" x14ac:dyDescent="0.25">
      <c r="A18" s="358" t="str">
        <f t="shared" ref="A18" si="1">CONCATENATE(K18," - ",L18)</f>
        <v>NECService - Banco de Dados (DML,DDL)</v>
      </c>
      <c r="B18" s="361" t="s">
        <v>80</v>
      </c>
      <c r="C18" s="362"/>
      <c r="D18" s="217"/>
      <c r="E18" s="217"/>
      <c r="F18" s="218"/>
      <c r="G18" s="55" t="s">
        <v>192</v>
      </c>
      <c r="H18" s="220" t="s">
        <v>192</v>
      </c>
      <c r="I18" s="55" t="s">
        <v>192</v>
      </c>
      <c r="K18" s="373" t="str">
        <f t="shared" ref="K18" si="2">$K$4</f>
        <v>NECService</v>
      </c>
      <c r="L18" s="368" t="s">
        <v>202</v>
      </c>
    </row>
    <row r="19" spans="1:12" ht="13.5" thickBot="1" x14ac:dyDescent="0.25">
      <c r="A19" s="359"/>
      <c r="B19" s="363" t="s">
        <v>78</v>
      </c>
      <c r="C19" s="364"/>
      <c r="D19" s="210" t="s">
        <v>74</v>
      </c>
      <c r="E19" s="2" t="s">
        <v>75</v>
      </c>
      <c r="F19" s="4" t="s">
        <v>76</v>
      </c>
      <c r="G19" s="3" t="s">
        <v>74</v>
      </c>
      <c r="H19" s="3" t="s">
        <v>75</v>
      </c>
      <c r="I19" s="3" t="s">
        <v>76</v>
      </c>
      <c r="K19" s="371"/>
      <c r="L19" s="371"/>
    </row>
    <row r="20" spans="1:12" x14ac:dyDescent="0.2">
      <c r="A20" s="359"/>
      <c r="B20" s="365" t="s">
        <v>81</v>
      </c>
      <c r="C20" s="214" t="s">
        <v>74</v>
      </c>
      <c r="D20" s="211"/>
      <c r="E20" s="13"/>
      <c r="F20" s="14"/>
      <c r="G20" s="56" t="s">
        <v>192</v>
      </c>
      <c r="H20" s="56" t="s">
        <v>192</v>
      </c>
      <c r="I20" s="221" t="s">
        <v>192</v>
      </c>
      <c r="K20" s="371"/>
      <c r="L20" s="371"/>
    </row>
    <row r="21" spans="1:12" x14ac:dyDescent="0.2">
      <c r="A21" s="359"/>
      <c r="B21" s="366"/>
      <c r="C21" s="215" t="s">
        <v>75</v>
      </c>
      <c r="D21" s="212"/>
      <c r="E21" s="15"/>
      <c r="F21" s="16"/>
      <c r="G21" s="56" t="s">
        <v>192</v>
      </c>
      <c r="H21" s="219" t="s">
        <v>192</v>
      </c>
      <c r="I21" s="56" t="s">
        <v>192</v>
      </c>
      <c r="K21" s="371"/>
      <c r="L21" s="371"/>
    </row>
    <row r="22" spans="1:12" ht="13.5" thickBot="1" x14ac:dyDescent="0.25">
      <c r="A22" s="360"/>
      <c r="B22" s="367"/>
      <c r="C22" s="216" t="s">
        <v>76</v>
      </c>
      <c r="D22" s="213"/>
      <c r="E22" s="17"/>
      <c r="F22" s="18"/>
      <c r="G22" s="209" t="s">
        <v>192</v>
      </c>
      <c r="H22" s="57" t="s">
        <v>192</v>
      </c>
      <c r="I22" s="57" t="s">
        <v>192</v>
      </c>
      <c r="K22" s="372"/>
      <c r="L22" s="372"/>
    </row>
    <row r="23" spans="1:12" ht="13.5" thickBot="1" x14ac:dyDescent="0.25"/>
    <row r="24" spans="1:12" ht="13.5" thickBot="1" x14ac:dyDescent="0.25">
      <c r="A24" s="3" t="s">
        <v>79</v>
      </c>
      <c r="B24" s="356" t="s">
        <v>82</v>
      </c>
      <c r="C24" s="357"/>
      <c r="D24" s="2" t="s">
        <v>74</v>
      </c>
      <c r="E24" s="2" t="s">
        <v>75</v>
      </c>
      <c r="F24" s="4" t="s">
        <v>76</v>
      </c>
      <c r="G24" s="2" t="s">
        <v>74</v>
      </c>
      <c r="H24" s="3" t="s">
        <v>75</v>
      </c>
      <c r="I24" s="4" t="s">
        <v>76</v>
      </c>
      <c r="K24" s="228" t="s">
        <v>20</v>
      </c>
      <c r="L24" s="3" t="s">
        <v>198</v>
      </c>
    </row>
    <row r="25" spans="1:12" ht="13.5" thickBot="1" x14ac:dyDescent="0.25">
      <c r="A25" s="358" t="str">
        <f t="shared" ref="A25" si="3">CONCATENATE(K25," - ",L25)</f>
        <v>NECService - Banco de Dados (PL/SQL)</v>
      </c>
      <c r="B25" s="361" t="s">
        <v>80</v>
      </c>
      <c r="C25" s="362"/>
      <c r="D25" s="217"/>
      <c r="E25" s="217"/>
      <c r="F25" s="218"/>
      <c r="G25" s="55" t="s">
        <v>192</v>
      </c>
      <c r="H25" s="220" t="s">
        <v>192</v>
      </c>
      <c r="I25" s="55" t="s">
        <v>192</v>
      </c>
      <c r="K25" s="373" t="str">
        <f t="shared" ref="K25" si="4">$K$4</f>
        <v>NECService</v>
      </c>
      <c r="L25" s="368" t="s">
        <v>203</v>
      </c>
    </row>
    <row r="26" spans="1:12" ht="13.5" thickBot="1" x14ac:dyDescent="0.25">
      <c r="A26" s="359"/>
      <c r="B26" s="363" t="s">
        <v>78</v>
      </c>
      <c r="C26" s="364"/>
      <c r="D26" s="210" t="s">
        <v>74</v>
      </c>
      <c r="E26" s="2" t="s">
        <v>75</v>
      </c>
      <c r="F26" s="4" t="s">
        <v>76</v>
      </c>
      <c r="G26" s="3" t="s">
        <v>74</v>
      </c>
      <c r="H26" s="3" t="s">
        <v>75</v>
      </c>
      <c r="I26" s="3" t="s">
        <v>76</v>
      </c>
      <c r="K26" s="371"/>
      <c r="L26" s="371"/>
    </row>
    <row r="27" spans="1:12" x14ac:dyDescent="0.2">
      <c r="A27" s="359"/>
      <c r="B27" s="365" t="s">
        <v>81</v>
      </c>
      <c r="C27" s="214" t="s">
        <v>74</v>
      </c>
      <c r="D27" s="211"/>
      <c r="E27" s="13"/>
      <c r="F27" s="14"/>
      <c r="G27" s="56" t="s">
        <v>192</v>
      </c>
      <c r="H27" s="56" t="s">
        <v>192</v>
      </c>
      <c r="I27" s="221" t="s">
        <v>192</v>
      </c>
      <c r="K27" s="371"/>
      <c r="L27" s="371"/>
    </row>
    <row r="28" spans="1:12" x14ac:dyDescent="0.2">
      <c r="A28" s="359"/>
      <c r="B28" s="366"/>
      <c r="C28" s="215" t="s">
        <v>75</v>
      </c>
      <c r="D28" s="212"/>
      <c r="E28" s="15"/>
      <c r="F28" s="16"/>
      <c r="G28" s="56" t="s">
        <v>192</v>
      </c>
      <c r="H28" s="219" t="s">
        <v>192</v>
      </c>
      <c r="I28" s="56" t="s">
        <v>192</v>
      </c>
      <c r="K28" s="371"/>
      <c r="L28" s="371"/>
    </row>
    <row r="29" spans="1:12" ht="13.5" thickBot="1" x14ac:dyDescent="0.25">
      <c r="A29" s="360"/>
      <c r="B29" s="367"/>
      <c r="C29" s="216" t="s">
        <v>76</v>
      </c>
      <c r="D29" s="213"/>
      <c r="E29" s="17"/>
      <c r="F29" s="18"/>
      <c r="G29" s="209" t="s">
        <v>192</v>
      </c>
      <c r="H29" s="57" t="s">
        <v>192</v>
      </c>
      <c r="I29" s="57" t="s">
        <v>192</v>
      </c>
      <c r="K29" s="372"/>
      <c r="L29" s="372"/>
    </row>
    <row r="30" spans="1:12" ht="13.5" thickBot="1" x14ac:dyDescent="0.25"/>
    <row r="31" spans="1:12" ht="13.5" thickBot="1" x14ac:dyDescent="0.25">
      <c r="A31" s="3" t="s">
        <v>79</v>
      </c>
      <c r="B31" s="356" t="s">
        <v>82</v>
      </c>
      <c r="C31" s="357"/>
      <c r="D31" s="2" t="s">
        <v>74</v>
      </c>
      <c r="E31" s="2" t="s">
        <v>75</v>
      </c>
      <c r="F31" s="4" t="s">
        <v>76</v>
      </c>
      <c r="G31" s="2" t="s">
        <v>74</v>
      </c>
      <c r="H31" s="3" t="s">
        <v>75</v>
      </c>
      <c r="I31" s="4" t="s">
        <v>76</v>
      </c>
      <c r="K31" s="228" t="s">
        <v>20</v>
      </c>
      <c r="L31" s="3" t="s">
        <v>198</v>
      </c>
    </row>
    <row r="32" spans="1:12" ht="13.5" thickBot="1" x14ac:dyDescent="0.25">
      <c r="A32" s="358" t="str">
        <f t="shared" ref="A32" si="5">CONCATENATE(K32," - ",L32)</f>
        <v>NECService - JAVA: Interface WebService</v>
      </c>
      <c r="B32" s="361" t="s">
        <v>80</v>
      </c>
      <c r="C32" s="362"/>
      <c r="D32" s="217"/>
      <c r="E32" s="217"/>
      <c r="F32" s="218"/>
      <c r="G32" s="55" t="s">
        <v>192</v>
      </c>
      <c r="H32" s="220" t="s">
        <v>192</v>
      </c>
      <c r="I32" s="55" t="s">
        <v>192</v>
      </c>
      <c r="K32" s="373" t="str">
        <f t="shared" ref="K32" si="6">$K$4</f>
        <v>NECService</v>
      </c>
      <c r="L32" s="368" t="s">
        <v>204</v>
      </c>
    </row>
    <row r="33" spans="1:12" ht="13.5" thickBot="1" x14ac:dyDescent="0.25">
      <c r="A33" s="359"/>
      <c r="B33" s="363" t="s">
        <v>78</v>
      </c>
      <c r="C33" s="364"/>
      <c r="D33" s="210" t="s">
        <v>74</v>
      </c>
      <c r="E33" s="2" t="s">
        <v>75</v>
      </c>
      <c r="F33" s="4" t="s">
        <v>76</v>
      </c>
      <c r="G33" s="3" t="s">
        <v>74</v>
      </c>
      <c r="H33" s="3" t="s">
        <v>75</v>
      </c>
      <c r="I33" s="3" t="s">
        <v>76</v>
      </c>
      <c r="K33" s="371"/>
      <c r="L33" s="371"/>
    </row>
    <row r="34" spans="1:12" x14ac:dyDescent="0.2">
      <c r="A34" s="359"/>
      <c r="B34" s="365" t="s">
        <v>81</v>
      </c>
      <c r="C34" s="214" t="s">
        <v>74</v>
      </c>
      <c r="D34" s="211"/>
      <c r="E34" s="13"/>
      <c r="F34" s="14"/>
      <c r="G34" s="56" t="s">
        <v>192</v>
      </c>
      <c r="H34" s="56" t="s">
        <v>192</v>
      </c>
      <c r="I34" s="221" t="s">
        <v>192</v>
      </c>
      <c r="K34" s="371"/>
      <c r="L34" s="371"/>
    </row>
    <row r="35" spans="1:12" x14ac:dyDescent="0.2">
      <c r="A35" s="359"/>
      <c r="B35" s="366"/>
      <c r="C35" s="215" t="s">
        <v>75</v>
      </c>
      <c r="D35" s="212"/>
      <c r="E35" s="15"/>
      <c r="F35" s="16"/>
      <c r="G35" s="56" t="s">
        <v>192</v>
      </c>
      <c r="H35" s="219" t="s">
        <v>192</v>
      </c>
      <c r="I35" s="56" t="s">
        <v>192</v>
      </c>
      <c r="K35" s="371"/>
      <c r="L35" s="371"/>
    </row>
    <row r="36" spans="1:12" ht="13.5" thickBot="1" x14ac:dyDescent="0.25">
      <c r="A36" s="360"/>
      <c r="B36" s="367"/>
      <c r="C36" s="216" t="s">
        <v>76</v>
      </c>
      <c r="D36" s="213"/>
      <c r="E36" s="17"/>
      <c r="F36" s="18"/>
      <c r="G36" s="209" t="s">
        <v>192</v>
      </c>
      <c r="H36" s="57" t="s">
        <v>192</v>
      </c>
      <c r="I36" s="57" t="s">
        <v>192</v>
      </c>
      <c r="K36" s="372"/>
      <c r="L36" s="372"/>
    </row>
    <row r="37" spans="1:12" ht="13.5" thickBot="1" x14ac:dyDescent="0.25"/>
    <row r="38" spans="1:12" ht="13.5" thickBot="1" x14ac:dyDescent="0.25">
      <c r="A38" s="3" t="s">
        <v>79</v>
      </c>
      <c r="B38" s="356" t="s">
        <v>82</v>
      </c>
      <c r="C38" s="357"/>
      <c r="D38" s="2" t="s">
        <v>74</v>
      </c>
      <c r="E38" s="2" t="s">
        <v>75</v>
      </c>
      <c r="F38" s="4" t="s">
        <v>76</v>
      </c>
      <c r="G38" s="2" t="s">
        <v>74</v>
      </c>
      <c r="H38" s="3" t="s">
        <v>75</v>
      </c>
      <c r="I38" s="4" t="s">
        <v>76</v>
      </c>
      <c r="K38" s="228" t="s">
        <v>20</v>
      </c>
      <c r="L38" s="3" t="s">
        <v>198</v>
      </c>
    </row>
    <row r="39" spans="1:12" ht="13.5" thickBot="1" x14ac:dyDescent="0.25">
      <c r="A39" s="358" t="str">
        <f t="shared" ref="A39" si="7">CONCATENATE(K39," - ",L39)</f>
        <v>NECService - JAVA: Transformação de Objetos</v>
      </c>
      <c r="B39" s="361" t="s">
        <v>80</v>
      </c>
      <c r="C39" s="362"/>
      <c r="D39" s="217"/>
      <c r="E39" s="217"/>
      <c r="F39" s="218"/>
      <c r="G39" s="55" t="s">
        <v>192</v>
      </c>
      <c r="H39" s="220" t="s">
        <v>192</v>
      </c>
      <c r="I39" s="55" t="s">
        <v>192</v>
      </c>
      <c r="K39" s="373" t="str">
        <f t="shared" ref="K39" si="8">$K$4</f>
        <v>NECService</v>
      </c>
      <c r="L39" s="368" t="s">
        <v>205</v>
      </c>
    </row>
    <row r="40" spans="1:12" ht="13.5" thickBot="1" x14ac:dyDescent="0.25">
      <c r="A40" s="359"/>
      <c r="B40" s="363" t="s">
        <v>78</v>
      </c>
      <c r="C40" s="364"/>
      <c r="D40" s="210" t="s">
        <v>74</v>
      </c>
      <c r="E40" s="2" t="s">
        <v>75</v>
      </c>
      <c r="F40" s="4" t="s">
        <v>76</v>
      </c>
      <c r="G40" s="3" t="s">
        <v>74</v>
      </c>
      <c r="H40" s="3" t="s">
        <v>75</v>
      </c>
      <c r="I40" s="3" t="s">
        <v>76</v>
      </c>
      <c r="K40" s="371"/>
      <c r="L40" s="371"/>
    </row>
    <row r="41" spans="1:12" x14ac:dyDescent="0.2">
      <c r="A41" s="359"/>
      <c r="B41" s="365" t="s">
        <v>81</v>
      </c>
      <c r="C41" s="214" t="s">
        <v>74</v>
      </c>
      <c r="D41" s="211"/>
      <c r="E41" s="13"/>
      <c r="F41" s="14"/>
      <c r="G41" s="56" t="s">
        <v>192</v>
      </c>
      <c r="H41" s="56" t="s">
        <v>192</v>
      </c>
      <c r="I41" s="221" t="s">
        <v>192</v>
      </c>
      <c r="K41" s="371"/>
      <c r="L41" s="371"/>
    </row>
    <row r="42" spans="1:12" x14ac:dyDescent="0.2">
      <c r="A42" s="359"/>
      <c r="B42" s="366"/>
      <c r="C42" s="215" t="s">
        <v>75</v>
      </c>
      <c r="D42" s="212"/>
      <c r="E42" s="15"/>
      <c r="F42" s="16"/>
      <c r="G42" s="56" t="s">
        <v>192</v>
      </c>
      <c r="H42" s="219" t="s">
        <v>192</v>
      </c>
      <c r="I42" s="56" t="s">
        <v>192</v>
      </c>
      <c r="K42" s="371"/>
      <c r="L42" s="371"/>
    </row>
    <row r="43" spans="1:12" ht="13.5" thickBot="1" x14ac:dyDescent="0.25">
      <c r="A43" s="360"/>
      <c r="B43" s="367"/>
      <c r="C43" s="216" t="s">
        <v>76</v>
      </c>
      <c r="D43" s="213"/>
      <c r="E43" s="17"/>
      <c r="F43" s="18"/>
      <c r="G43" s="209" t="s">
        <v>192</v>
      </c>
      <c r="H43" s="57" t="s">
        <v>192</v>
      </c>
      <c r="I43" s="57" t="s">
        <v>192</v>
      </c>
      <c r="K43" s="372"/>
      <c r="L43" s="372"/>
    </row>
    <row r="44" spans="1:12" ht="13.5" thickBot="1" x14ac:dyDescent="0.25"/>
    <row r="45" spans="1:12" ht="13.5" thickBot="1" x14ac:dyDescent="0.25">
      <c r="A45" s="3" t="s">
        <v>79</v>
      </c>
      <c r="B45" s="356" t="s">
        <v>82</v>
      </c>
      <c r="C45" s="357"/>
      <c r="D45" s="2" t="s">
        <v>74</v>
      </c>
      <c r="E45" s="2" t="s">
        <v>75</v>
      </c>
      <c r="F45" s="4" t="s">
        <v>76</v>
      </c>
      <c r="G45" s="2" t="s">
        <v>74</v>
      </c>
      <c r="H45" s="3" t="s">
        <v>75</v>
      </c>
      <c r="I45" s="4" t="s">
        <v>76</v>
      </c>
      <c r="K45" s="228" t="s">
        <v>20</v>
      </c>
      <c r="L45" s="3" t="s">
        <v>198</v>
      </c>
    </row>
    <row r="46" spans="1:12" ht="13.5" thickBot="1" x14ac:dyDescent="0.25">
      <c r="A46" s="358" t="str">
        <f t="shared" ref="A46" si="9">CONCATENATE(K46," - ",L46)</f>
        <v>NECService - JAVA: Métodos de Negócio (Controller)</v>
      </c>
      <c r="B46" s="361" t="s">
        <v>80</v>
      </c>
      <c r="C46" s="362"/>
      <c r="D46" s="217"/>
      <c r="E46" s="217"/>
      <c r="F46" s="218"/>
      <c r="G46" s="55" t="s">
        <v>192</v>
      </c>
      <c r="H46" s="220" t="s">
        <v>192</v>
      </c>
      <c r="I46" s="55" t="s">
        <v>192</v>
      </c>
      <c r="K46" s="373" t="str">
        <f t="shared" ref="K46" si="10">$K$4</f>
        <v>NECService</v>
      </c>
      <c r="L46" s="368" t="s">
        <v>206</v>
      </c>
    </row>
    <row r="47" spans="1:12" ht="13.5" thickBot="1" x14ac:dyDescent="0.25">
      <c r="A47" s="359"/>
      <c r="B47" s="363" t="s">
        <v>78</v>
      </c>
      <c r="C47" s="364"/>
      <c r="D47" s="210" t="s">
        <v>74</v>
      </c>
      <c r="E47" s="2" t="s">
        <v>75</v>
      </c>
      <c r="F47" s="4" t="s">
        <v>76</v>
      </c>
      <c r="G47" s="3" t="s">
        <v>74</v>
      </c>
      <c r="H47" s="3" t="s">
        <v>75</v>
      </c>
      <c r="I47" s="3" t="s">
        <v>76</v>
      </c>
      <c r="K47" s="371"/>
      <c r="L47" s="371"/>
    </row>
    <row r="48" spans="1:12" x14ac:dyDescent="0.2">
      <c r="A48" s="359"/>
      <c r="B48" s="365" t="s">
        <v>81</v>
      </c>
      <c r="C48" s="214" t="s">
        <v>74</v>
      </c>
      <c r="D48" s="211"/>
      <c r="E48" s="13"/>
      <c r="F48" s="14"/>
      <c r="G48" s="56" t="s">
        <v>192</v>
      </c>
      <c r="H48" s="56" t="s">
        <v>192</v>
      </c>
      <c r="I48" s="221" t="s">
        <v>192</v>
      </c>
      <c r="K48" s="371"/>
      <c r="L48" s="371"/>
    </row>
    <row r="49" spans="1:12" x14ac:dyDescent="0.2">
      <c r="A49" s="359"/>
      <c r="B49" s="366"/>
      <c r="C49" s="215" t="s">
        <v>75</v>
      </c>
      <c r="D49" s="212"/>
      <c r="E49" s="15"/>
      <c r="F49" s="16"/>
      <c r="G49" s="56" t="s">
        <v>192</v>
      </c>
      <c r="H49" s="219" t="s">
        <v>192</v>
      </c>
      <c r="I49" s="56" t="s">
        <v>192</v>
      </c>
      <c r="K49" s="371"/>
      <c r="L49" s="371"/>
    </row>
    <row r="50" spans="1:12" ht="13.5" thickBot="1" x14ac:dyDescent="0.25">
      <c r="A50" s="360"/>
      <c r="B50" s="367"/>
      <c r="C50" s="216" t="s">
        <v>76</v>
      </c>
      <c r="D50" s="213"/>
      <c r="E50" s="17"/>
      <c r="F50" s="18"/>
      <c r="G50" s="209" t="s">
        <v>192</v>
      </c>
      <c r="H50" s="57" t="s">
        <v>192</v>
      </c>
      <c r="I50" s="57" t="s">
        <v>192</v>
      </c>
      <c r="K50" s="372"/>
      <c r="L50" s="372"/>
    </row>
    <row r="51" spans="1:12" ht="13.5" thickBot="1" x14ac:dyDescent="0.25"/>
    <row r="52" spans="1:12" ht="13.5" thickBot="1" x14ac:dyDescent="0.25">
      <c r="A52" s="3" t="s">
        <v>79</v>
      </c>
      <c r="B52" s="356" t="s">
        <v>82</v>
      </c>
      <c r="C52" s="357"/>
      <c r="D52" s="2" t="s">
        <v>74</v>
      </c>
      <c r="E52" s="2" t="s">
        <v>75</v>
      </c>
      <c r="F52" s="4" t="s">
        <v>76</v>
      </c>
      <c r="G52" s="2" t="s">
        <v>74</v>
      </c>
      <c r="H52" s="3" t="s">
        <v>75</v>
      </c>
      <c r="I52" s="4" t="s">
        <v>76</v>
      </c>
      <c r="K52" s="228" t="s">
        <v>20</v>
      </c>
      <c r="L52" s="3" t="s">
        <v>198</v>
      </c>
    </row>
    <row r="53" spans="1:12" ht="13.5" thickBot="1" x14ac:dyDescent="0.25">
      <c r="A53" s="358" t="str">
        <f t="shared" ref="A53" si="11">CONCATENATE(K53," - ",L53)</f>
        <v>NECService - JAVA: Entity</v>
      </c>
      <c r="B53" s="361" t="s">
        <v>80</v>
      </c>
      <c r="C53" s="362"/>
      <c r="D53" s="217"/>
      <c r="E53" s="217"/>
      <c r="F53" s="218"/>
      <c r="G53" s="55" t="s">
        <v>192</v>
      </c>
      <c r="H53" s="220" t="s">
        <v>192</v>
      </c>
      <c r="I53" s="55" t="s">
        <v>192</v>
      </c>
      <c r="K53" s="373" t="str">
        <f t="shared" ref="K53" si="12">$K$4</f>
        <v>NECService</v>
      </c>
      <c r="L53" s="368" t="s">
        <v>207</v>
      </c>
    </row>
    <row r="54" spans="1:12" ht="13.5" thickBot="1" x14ac:dyDescent="0.25">
      <c r="A54" s="359"/>
      <c r="B54" s="363" t="s">
        <v>78</v>
      </c>
      <c r="C54" s="364"/>
      <c r="D54" s="210" t="s">
        <v>74</v>
      </c>
      <c r="E54" s="2" t="s">
        <v>75</v>
      </c>
      <c r="F54" s="4" t="s">
        <v>76</v>
      </c>
      <c r="G54" s="3" t="s">
        <v>74</v>
      </c>
      <c r="H54" s="3" t="s">
        <v>75</v>
      </c>
      <c r="I54" s="3" t="s">
        <v>76</v>
      </c>
      <c r="K54" s="371"/>
      <c r="L54" s="371"/>
    </row>
    <row r="55" spans="1:12" x14ac:dyDescent="0.2">
      <c r="A55" s="359"/>
      <c r="B55" s="365" t="s">
        <v>81</v>
      </c>
      <c r="C55" s="214" t="s">
        <v>74</v>
      </c>
      <c r="D55" s="211"/>
      <c r="E55" s="13"/>
      <c r="F55" s="14"/>
      <c r="G55" s="56" t="s">
        <v>192</v>
      </c>
      <c r="H55" s="56" t="s">
        <v>192</v>
      </c>
      <c r="I55" s="221" t="s">
        <v>192</v>
      </c>
      <c r="K55" s="371"/>
      <c r="L55" s="371"/>
    </row>
    <row r="56" spans="1:12" x14ac:dyDescent="0.2">
      <c r="A56" s="359"/>
      <c r="B56" s="366"/>
      <c r="C56" s="215" t="s">
        <v>75</v>
      </c>
      <c r="D56" s="212"/>
      <c r="E56" s="15"/>
      <c r="F56" s="16"/>
      <c r="G56" s="56" t="s">
        <v>192</v>
      </c>
      <c r="H56" s="219" t="s">
        <v>192</v>
      </c>
      <c r="I56" s="56" t="s">
        <v>192</v>
      </c>
      <c r="K56" s="371"/>
      <c r="L56" s="371"/>
    </row>
    <row r="57" spans="1:12" ht="13.5" thickBot="1" x14ac:dyDescent="0.25">
      <c r="A57" s="360"/>
      <c r="B57" s="367"/>
      <c r="C57" s="216" t="s">
        <v>76</v>
      </c>
      <c r="D57" s="213"/>
      <c r="E57" s="17"/>
      <c r="F57" s="18"/>
      <c r="G57" s="209" t="s">
        <v>192</v>
      </c>
      <c r="H57" s="57" t="s">
        <v>192</v>
      </c>
      <c r="I57" s="57" t="s">
        <v>192</v>
      </c>
      <c r="K57" s="372"/>
      <c r="L57" s="372"/>
    </row>
    <row r="58" spans="1:12" ht="13.5" thickBot="1" x14ac:dyDescent="0.25"/>
    <row r="59" spans="1:12" ht="13.5" thickBot="1" x14ac:dyDescent="0.25">
      <c r="A59" s="3" t="s">
        <v>79</v>
      </c>
      <c r="B59" s="356" t="s">
        <v>82</v>
      </c>
      <c r="C59" s="357"/>
      <c r="D59" s="2" t="s">
        <v>74</v>
      </c>
      <c r="E59" s="2" t="s">
        <v>75</v>
      </c>
      <c r="F59" s="4" t="s">
        <v>76</v>
      </c>
      <c r="G59" s="2" t="s">
        <v>74</v>
      </c>
      <c r="H59" s="3" t="s">
        <v>75</v>
      </c>
      <c r="I59" s="4" t="s">
        <v>76</v>
      </c>
      <c r="K59" s="228" t="s">
        <v>20</v>
      </c>
      <c r="L59" s="3" t="s">
        <v>198</v>
      </c>
    </row>
    <row r="60" spans="1:12" ht="13.5" thickBot="1" x14ac:dyDescent="0.25">
      <c r="A60" s="358" t="str">
        <f t="shared" ref="A60" si="13">CONCATENATE(K60," - ",L60)</f>
        <v>NECService - JAVA: Consulta Banco de Dados</v>
      </c>
      <c r="B60" s="361" t="s">
        <v>80</v>
      </c>
      <c r="C60" s="362"/>
      <c r="D60" s="217"/>
      <c r="E60" s="217"/>
      <c r="F60" s="218"/>
      <c r="G60" s="55" t="s">
        <v>192</v>
      </c>
      <c r="H60" s="220" t="s">
        <v>192</v>
      </c>
      <c r="I60" s="55" t="s">
        <v>192</v>
      </c>
      <c r="K60" s="373" t="str">
        <f t="shared" ref="K60" si="14">$K$4</f>
        <v>NECService</v>
      </c>
      <c r="L60" s="368" t="s">
        <v>208</v>
      </c>
    </row>
    <row r="61" spans="1:12" ht="13.5" thickBot="1" x14ac:dyDescent="0.25">
      <c r="A61" s="359"/>
      <c r="B61" s="363" t="s">
        <v>78</v>
      </c>
      <c r="C61" s="364"/>
      <c r="D61" s="210" t="s">
        <v>74</v>
      </c>
      <c r="E61" s="2" t="s">
        <v>75</v>
      </c>
      <c r="F61" s="4" t="s">
        <v>76</v>
      </c>
      <c r="G61" s="3" t="s">
        <v>74</v>
      </c>
      <c r="H61" s="3" t="s">
        <v>75</v>
      </c>
      <c r="I61" s="3" t="s">
        <v>76</v>
      </c>
      <c r="K61" s="371"/>
      <c r="L61" s="371"/>
    </row>
    <row r="62" spans="1:12" x14ac:dyDescent="0.2">
      <c r="A62" s="359"/>
      <c r="B62" s="365" t="s">
        <v>81</v>
      </c>
      <c r="C62" s="214" t="s">
        <v>74</v>
      </c>
      <c r="D62" s="211"/>
      <c r="E62" s="13"/>
      <c r="F62" s="14"/>
      <c r="G62" s="56" t="s">
        <v>192</v>
      </c>
      <c r="H62" s="56" t="s">
        <v>192</v>
      </c>
      <c r="I62" s="221" t="s">
        <v>192</v>
      </c>
      <c r="K62" s="371"/>
      <c r="L62" s="371"/>
    </row>
    <row r="63" spans="1:12" x14ac:dyDescent="0.2">
      <c r="A63" s="359"/>
      <c r="B63" s="366"/>
      <c r="C63" s="215" t="s">
        <v>75</v>
      </c>
      <c r="D63" s="212"/>
      <c r="E63" s="15"/>
      <c r="F63" s="16"/>
      <c r="G63" s="56" t="s">
        <v>192</v>
      </c>
      <c r="H63" s="219" t="s">
        <v>192</v>
      </c>
      <c r="I63" s="56" t="s">
        <v>192</v>
      </c>
      <c r="K63" s="371"/>
      <c r="L63" s="371"/>
    </row>
    <row r="64" spans="1:12" ht="13.5" thickBot="1" x14ac:dyDescent="0.25">
      <c r="A64" s="360"/>
      <c r="B64" s="367"/>
      <c r="C64" s="216" t="s">
        <v>76</v>
      </c>
      <c r="D64" s="213"/>
      <c r="E64" s="17"/>
      <c r="F64" s="18"/>
      <c r="G64" s="209" t="s">
        <v>192</v>
      </c>
      <c r="H64" s="57" t="s">
        <v>192</v>
      </c>
      <c r="I64" s="57" t="s">
        <v>192</v>
      </c>
      <c r="K64" s="372"/>
      <c r="L64" s="372"/>
    </row>
    <row r="65" spans="1:12" ht="13.5" thickBot="1" x14ac:dyDescent="0.25"/>
    <row r="66" spans="1:12" ht="13.5" thickBot="1" x14ac:dyDescent="0.25">
      <c r="A66" s="3" t="s">
        <v>79</v>
      </c>
      <c r="B66" s="356" t="s">
        <v>82</v>
      </c>
      <c r="C66" s="357"/>
      <c r="D66" s="2" t="s">
        <v>74</v>
      </c>
      <c r="E66" s="2" t="s">
        <v>75</v>
      </c>
      <c r="F66" s="4" t="s">
        <v>76</v>
      </c>
      <c r="G66" s="2" t="s">
        <v>74</v>
      </c>
      <c r="H66" s="3" t="s">
        <v>75</v>
      </c>
      <c r="I66" s="4" t="s">
        <v>76</v>
      </c>
      <c r="K66" s="228" t="s">
        <v>20</v>
      </c>
      <c r="L66" s="3" t="s">
        <v>198</v>
      </c>
    </row>
    <row r="67" spans="1:12" ht="13.5" thickBot="1" x14ac:dyDescent="0.25">
      <c r="A67" s="358" t="str">
        <f t="shared" ref="A67" si="15">CONCATENATE(K67," - ",L67)</f>
        <v>NECService - JAVA: Geração de Stubs</v>
      </c>
      <c r="B67" s="361" t="s">
        <v>80</v>
      </c>
      <c r="C67" s="362"/>
      <c r="D67" s="217"/>
      <c r="E67" s="217"/>
      <c r="F67" s="218"/>
      <c r="G67" s="55" t="s">
        <v>192</v>
      </c>
      <c r="H67" s="220" t="s">
        <v>192</v>
      </c>
      <c r="I67" s="55" t="s">
        <v>192</v>
      </c>
      <c r="K67" s="373" t="str">
        <f t="shared" ref="K67" si="16">$K$4</f>
        <v>NECService</v>
      </c>
      <c r="L67" s="368" t="s">
        <v>209</v>
      </c>
    </row>
    <row r="68" spans="1:12" ht="13.5" thickBot="1" x14ac:dyDescent="0.25">
      <c r="A68" s="359"/>
      <c r="B68" s="363" t="s">
        <v>78</v>
      </c>
      <c r="C68" s="364"/>
      <c r="D68" s="210" t="s">
        <v>74</v>
      </c>
      <c r="E68" s="2" t="s">
        <v>75</v>
      </c>
      <c r="F68" s="4" t="s">
        <v>76</v>
      </c>
      <c r="G68" s="3" t="s">
        <v>74</v>
      </c>
      <c r="H68" s="3" t="s">
        <v>75</v>
      </c>
      <c r="I68" s="3" t="s">
        <v>76</v>
      </c>
      <c r="K68" s="371"/>
      <c r="L68" s="371"/>
    </row>
    <row r="69" spans="1:12" x14ac:dyDescent="0.2">
      <c r="A69" s="359"/>
      <c r="B69" s="365" t="s">
        <v>81</v>
      </c>
      <c r="C69" s="214" t="s">
        <v>74</v>
      </c>
      <c r="D69" s="211"/>
      <c r="E69" s="13"/>
      <c r="F69" s="14"/>
      <c r="G69" s="56" t="s">
        <v>192</v>
      </c>
      <c r="H69" s="56" t="s">
        <v>192</v>
      </c>
      <c r="I69" s="221" t="s">
        <v>192</v>
      </c>
      <c r="K69" s="371"/>
      <c r="L69" s="371"/>
    </row>
    <row r="70" spans="1:12" x14ac:dyDescent="0.2">
      <c r="A70" s="359"/>
      <c r="B70" s="366"/>
      <c r="C70" s="215" t="s">
        <v>75</v>
      </c>
      <c r="D70" s="212"/>
      <c r="E70" s="15"/>
      <c r="F70" s="16"/>
      <c r="G70" s="56" t="s">
        <v>192</v>
      </c>
      <c r="H70" s="219" t="s">
        <v>192</v>
      </c>
      <c r="I70" s="56" t="s">
        <v>192</v>
      </c>
      <c r="K70" s="371"/>
      <c r="L70" s="371"/>
    </row>
    <row r="71" spans="1:12" ht="13.5" thickBot="1" x14ac:dyDescent="0.25">
      <c r="A71" s="360"/>
      <c r="B71" s="367"/>
      <c r="C71" s="216" t="s">
        <v>76</v>
      </c>
      <c r="D71" s="213"/>
      <c r="E71" s="17"/>
      <c r="F71" s="18"/>
      <c r="G71" s="209" t="s">
        <v>192</v>
      </c>
      <c r="H71" s="57" t="s">
        <v>192</v>
      </c>
      <c r="I71" s="57" t="s">
        <v>192</v>
      </c>
      <c r="K71" s="372"/>
      <c r="L71" s="372"/>
    </row>
    <row r="72" spans="1:12" ht="13.5" thickBot="1" x14ac:dyDescent="0.25"/>
    <row r="73" spans="1:12" ht="13.5" thickBot="1" x14ac:dyDescent="0.25">
      <c r="A73" s="3" t="s">
        <v>79</v>
      </c>
      <c r="B73" s="356" t="s">
        <v>82</v>
      </c>
      <c r="C73" s="357"/>
      <c r="D73" s="2" t="s">
        <v>74</v>
      </c>
      <c r="E73" s="2" t="s">
        <v>75</v>
      </c>
      <c r="F73" s="4" t="s">
        <v>76</v>
      </c>
      <c r="G73" s="2" t="s">
        <v>74</v>
      </c>
      <c r="H73" s="3" t="s">
        <v>75</v>
      </c>
      <c r="I73" s="4" t="s">
        <v>76</v>
      </c>
      <c r="K73" s="228" t="s">
        <v>20</v>
      </c>
      <c r="L73" s="3" t="s">
        <v>198</v>
      </c>
    </row>
    <row r="74" spans="1:12" ht="13.5" thickBot="1" x14ac:dyDescent="0.25">
      <c r="A74" s="358" t="str">
        <f t="shared" ref="A74" si="17">CONCATENATE(K74," - ",L74)</f>
        <v>NECService - JSP</v>
      </c>
      <c r="B74" s="361" t="s">
        <v>80</v>
      </c>
      <c r="C74" s="362"/>
      <c r="D74" s="217"/>
      <c r="E74" s="217"/>
      <c r="F74" s="218"/>
      <c r="G74" s="55" t="s">
        <v>192</v>
      </c>
      <c r="H74" s="220" t="s">
        <v>192</v>
      </c>
      <c r="I74" s="55" t="s">
        <v>192</v>
      </c>
      <c r="K74" s="373" t="str">
        <f t="shared" ref="K74" si="18">$K$4</f>
        <v>NECService</v>
      </c>
      <c r="L74" s="368" t="s">
        <v>210</v>
      </c>
    </row>
    <row r="75" spans="1:12" ht="13.5" thickBot="1" x14ac:dyDescent="0.25">
      <c r="A75" s="359"/>
      <c r="B75" s="363" t="s">
        <v>78</v>
      </c>
      <c r="C75" s="364"/>
      <c r="D75" s="210" t="s">
        <v>74</v>
      </c>
      <c r="E75" s="2" t="s">
        <v>75</v>
      </c>
      <c r="F75" s="4" t="s">
        <v>76</v>
      </c>
      <c r="G75" s="3" t="s">
        <v>74</v>
      </c>
      <c r="H75" s="3" t="s">
        <v>75</v>
      </c>
      <c r="I75" s="3" t="s">
        <v>76</v>
      </c>
      <c r="K75" s="371"/>
      <c r="L75" s="371"/>
    </row>
    <row r="76" spans="1:12" x14ac:dyDescent="0.2">
      <c r="A76" s="359"/>
      <c r="B76" s="365" t="s">
        <v>81</v>
      </c>
      <c r="C76" s="214" t="s">
        <v>74</v>
      </c>
      <c r="D76" s="211"/>
      <c r="E76" s="13"/>
      <c r="F76" s="14"/>
      <c r="G76" s="56" t="s">
        <v>192</v>
      </c>
      <c r="H76" s="56" t="s">
        <v>192</v>
      </c>
      <c r="I76" s="221" t="s">
        <v>192</v>
      </c>
      <c r="K76" s="371"/>
      <c r="L76" s="371"/>
    </row>
    <row r="77" spans="1:12" x14ac:dyDescent="0.2">
      <c r="A77" s="359"/>
      <c r="B77" s="366"/>
      <c r="C77" s="215" t="s">
        <v>75</v>
      </c>
      <c r="D77" s="212"/>
      <c r="E77" s="15"/>
      <c r="F77" s="16"/>
      <c r="G77" s="56" t="s">
        <v>192</v>
      </c>
      <c r="H77" s="219" t="s">
        <v>192</v>
      </c>
      <c r="I77" s="56" t="s">
        <v>192</v>
      </c>
      <c r="K77" s="371"/>
      <c r="L77" s="371"/>
    </row>
    <row r="78" spans="1:12" ht="13.5" thickBot="1" x14ac:dyDescent="0.25">
      <c r="A78" s="360"/>
      <c r="B78" s="367"/>
      <c r="C78" s="216" t="s">
        <v>76</v>
      </c>
      <c r="D78" s="213"/>
      <c r="E78" s="17"/>
      <c r="F78" s="18"/>
      <c r="G78" s="209" t="s">
        <v>192</v>
      </c>
      <c r="H78" s="57" t="s">
        <v>192</v>
      </c>
      <c r="I78" s="57" t="s">
        <v>192</v>
      </c>
      <c r="K78" s="372"/>
      <c r="L78" s="372"/>
    </row>
    <row r="79" spans="1:12" ht="13.5" thickBot="1" x14ac:dyDescent="0.25"/>
    <row r="80" spans="1:12" ht="13.5" thickBot="1" x14ac:dyDescent="0.25">
      <c r="A80" s="3" t="s">
        <v>79</v>
      </c>
      <c r="B80" s="356" t="s">
        <v>82</v>
      </c>
      <c r="C80" s="357"/>
      <c r="D80" s="2" t="s">
        <v>74</v>
      </c>
      <c r="E80" s="2" t="s">
        <v>75</v>
      </c>
      <c r="F80" s="4" t="s">
        <v>76</v>
      </c>
      <c r="G80" s="2" t="s">
        <v>74</v>
      </c>
      <c r="H80" s="3" t="s">
        <v>75</v>
      </c>
      <c r="I80" s="4" t="s">
        <v>76</v>
      </c>
      <c r="K80" s="228" t="s">
        <v>20</v>
      </c>
      <c r="L80" s="3" t="s">
        <v>198</v>
      </c>
    </row>
    <row r="81" spans="1:12" ht="13.5" thickBot="1" x14ac:dyDescent="0.25">
      <c r="A81" s="358" t="str">
        <f t="shared" ref="A81" si="19">CONCATENATE(K81," - ",L81)</f>
        <v>NECService - Configuração de Projeto/Modulo</v>
      </c>
      <c r="B81" s="361" t="s">
        <v>80</v>
      </c>
      <c r="C81" s="362"/>
      <c r="D81" s="217"/>
      <c r="E81" s="217"/>
      <c r="F81" s="218"/>
      <c r="G81" s="55" t="s">
        <v>192</v>
      </c>
      <c r="H81" s="220" t="s">
        <v>192</v>
      </c>
      <c r="I81" s="55" t="s">
        <v>192</v>
      </c>
      <c r="K81" s="373" t="str">
        <f t="shared" ref="K81" si="20">$K$4</f>
        <v>NECService</v>
      </c>
      <c r="L81" s="368" t="s">
        <v>211</v>
      </c>
    </row>
    <row r="82" spans="1:12" ht="13.5" thickBot="1" x14ac:dyDescent="0.25">
      <c r="A82" s="359"/>
      <c r="B82" s="363" t="s">
        <v>78</v>
      </c>
      <c r="C82" s="364"/>
      <c r="D82" s="210" t="s">
        <v>74</v>
      </c>
      <c r="E82" s="2" t="s">
        <v>75</v>
      </c>
      <c r="F82" s="4" t="s">
        <v>76</v>
      </c>
      <c r="G82" s="3" t="s">
        <v>74</v>
      </c>
      <c r="H82" s="3" t="s">
        <v>75</v>
      </c>
      <c r="I82" s="3" t="s">
        <v>76</v>
      </c>
      <c r="K82" s="371"/>
      <c r="L82" s="371"/>
    </row>
    <row r="83" spans="1:12" x14ac:dyDescent="0.2">
      <c r="A83" s="359"/>
      <c r="B83" s="365" t="s">
        <v>81</v>
      </c>
      <c r="C83" s="214" t="s">
        <v>74</v>
      </c>
      <c r="D83" s="211"/>
      <c r="E83" s="13"/>
      <c r="F83" s="14"/>
      <c r="G83" s="56" t="s">
        <v>192</v>
      </c>
      <c r="H83" s="56" t="s">
        <v>192</v>
      </c>
      <c r="I83" s="221" t="s">
        <v>192</v>
      </c>
      <c r="K83" s="371"/>
      <c r="L83" s="371"/>
    </row>
    <row r="84" spans="1:12" x14ac:dyDescent="0.2">
      <c r="A84" s="359"/>
      <c r="B84" s="366"/>
      <c r="C84" s="215" t="s">
        <v>75</v>
      </c>
      <c r="D84" s="212"/>
      <c r="E84" s="15"/>
      <c r="F84" s="16"/>
      <c r="G84" s="56" t="s">
        <v>192</v>
      </c>
      <c r="H84" s="219" t="s">
        <v>192</v>
      </c>
      <c r="I84" s="56" t="s">
        <v>192</v>
      </c>
      <c r="K84" s="371"/>
      <c r="L84" s="371"/>
    </row>
    <row r="85" spans="1:12" ht="13.5" thickBot="1" x14ac:dyDescent="0.25">
      <c r="A85" s="360"/>
      <c r="B85" s="367"/>
      <c r="C85" s="216" t="s">
        <v>76</v>
      </c>
      <c r="D85" s="213"/>
      <c r="E85" s="17"/>
      <c r="F85" s="18"/>
      <c r="G85" s="209" t="s">
        <v>192</v>
      </c>
      <c r="H85" s="57" t="s">
        <v>192</v>
      </c>
      <c r="I85" s="57" t="s">
        <v>192</v>
      </c>
      <c r="K85" s="372"/>
      <c r="L85" s="372"/>
    </row>
    <row r="86" spans="1:12" ht="13.5" thickBot="1" x14ac:dyDescent="0.25"/>
    <row r="87" spans="1:12" ht="13.5" thickBot="1" x14ac:dyDescent="0.25">
      <c r="A87" s="3" t="s">
        <v>79</v>
      </c>
      <c r="B87" s="356" t="s">
        <v>82</v>
      </c>
      <c r="C87" s="357"/>
      <c r="D87" s="2" t="s">
        <v>74</v>
      </c>
      <c r="E87" s="2" t="s">
        <v>75</v>
      </c>
      <c r="F87" s="4" t="s">
        <v>76</v>
      </c>
      <c r="G87" s="2" t="s">
        <v>74</v>
      </c>
      <c r="H87" s="3" t="s">
        <v>75</v>
      </c>
      <c r="I87" s="4" t="s">
        <v>76</v>
      </c>
      <c r="K87" s="228" t="s">
        <v>20</v>
      </c>
      <c r="L87" s="3" t="s">
        <v>198</v>
      </c>
    </row>
    <row r="88" spans="1:12" ht="13.5" thickBot="1" x14ac:dyDescent="0.25">
      <c r="A88" s="358" t="str">
        <f t="shared" ref="A88" si="21">CONCATENATE(K88," - ",L88)</f>
        <v>NECPortabilidade - Regra Drools</v>
      </c>
      <c r="B88" s="361" t="s">
        <v>80</v>
      </c>
      <c r="C88" s="362"/>
      <c r="D88" s="217"/>
      <c r="E88" s="217"/>
      <c r="F88" s="218"/>
      <c r="G88" s="55" t="s">
        <v>192</v>
      </c>
      <c r="H88" s="220" t="s">
        <v>192</v>
      </c>
      <c r="I88" s="55" t="s">
        <v>192</v>
      </c>
      <c r="K88" s="368" t="s">
        <v>212</v>
      </c>
      <c r="L88" s="373" t="s">
        <v>200</v>
      </c>
    </row>
    <row r="89" spans="1:12" ht="13.5" thickBot="1" x14ac:dyDescent="0.25">
      <c r="A89" s="359"/>
      <c r="B89" s="363" t="s">
        <v>78</v>
      </c>
      <c r="C89" s="364"/>
      <c r="D89" s="210" t="s">
        <v>74</v>
      </c>
      <c r="E89" s="2" t="s">
        <v>75</v>
      </c>
      <c r="F89" s="4" t="s">
        <v>76</v>
      </c>
      <c r="G89" s="3" t="s">
        <v>74</v>
      </c>
      <c r="H89" s="3" t="s">
        <v>75</v>
      </c>
      <c r="I89" s="3" t="s">
        <v>76</v>
      </c>
      <c r="K89" s="371"/>
      <c r="L89" s="371"/>
    </row>
    <row r="90" spans="1:12" x14ac:dyDescent="0.2">
      <c r="A90" s="359"/>
      <c r="B90" s="365" t="s">
        <v>81</v>
      </c>
      <c r="C90" s="214" t="s">
        <v>74</v>
      </c>
      <c r="D90" s="211"/>
      <c r="E90" s="13"/>
      <c r="F90" s="14"/>
      <c r="G90" s="56" t="s">
        <v>192</v>
      </c>
      <c r="H90" s="56" t="s">
        <v>192</v>
      </c>
      <c r="I90" s="221" t="s">
        <v>192</v>
      </c>
      <c r="K90" s="371"/>
      <c r="L90" s="371"/>
    </row>
    <row r="91" spans="1:12" x14ac:dyDescent="0.2">
      <c r="A91" s="359"/>
      <c r="B91" s="366"/>
      <c r="C91" s="215" t="s">
        <v>75</v>
      </c>
      <c r="D91" s="212"/>
      <c r="E91" s="15"/>
      <c r="F91" s="16"/>
      <c r="G91" s="56" t="s">
        <v>192</v>
      </c>
      <c r="H91" s="219" t="s">
        <v>192</v>
      </c>
      <c r="I91" s="56" t="s">
        <v>192</v>
      </c>
      <c r="K91" s="371"/>
      <c r="L91" s="371"/>
    </row>
    <row r="92" spans="1:12" ht="13.5" thickBot="1" x14ac:dyDescent="0.25">
      <c r="A92" s="360"/>
      <c r="B92" s="367"/>
      <c r="C92" s="216" t="s">
        <v>76</v>
      </c>
      <c r="D92" s="213"/>
      <c r="E92" s="17"/>
      <c r="F92" s="18"/>
      <c r="G92" s="209" t="s">
        <v>192</v>
      </c>
      <c r="H92" s="57" t="s">
        <v>192</v>
      </c>
      <c r="I92" s="57" t="s">
        <v>192</v>
      </c>
      <c r="K92" s="372"/>
      <c r="L92" s="372"/>
    </row>
    <row r="93" spans="1:12" ht="13.5" thickBot="1" x14ac:dyDescent="0.25"/>
    <row r="94" spans="1:12" ht="13.5" thickBot="1" x14ac:dyDescent="0.25">
      <c r="A94" s="3" t="s">
        <v>79</v>
      </c>
      <c r="B94" s="356" t="s">
        <v>82</v>
      </c>
      <c r="C94" s="357"/>
      <c r="D94" s="2" t="s">
        <v>74</v>
      </c>
      <c r="E94" s="2" t="s">
        <v>75</v>
      </c>
      <c r="F94" s="4" t="s">
        <v>76</v>
      </c>
      <c r="G94" s="2" t="s">
        <v>74</v>
      </c>
      <c r="H94" s="3" t="s">
        <v>75</v>
      </c>
      <c r="I94" s="4" t="s">
        <v>76</v>
      </c>
      <c r="K94" s="228" t="s">
        <v>20</v>
      </c>
      <c r="L94" s="3" t="s">
        <v>198</v>
      </c>
    </row>
    <row r="95" spans="1:12" ht="13.5" thickBot="1" x14ac:dyDescent="0.25">
      <c r="A95" s="358" t="str">
        <f t="shared" ref="A95" si="22">CONCATENATE(K95," - ",L95)</f>
        <v>NECPortabilidade - Junit</v>
      </c>
      <c r="B95" s="361" t="s">
        <v>80</v>
      </c>
      <c r="C95" s="362"/>
      <c r="D95" s="217"/>
      <c r="E95" s="217"/>
      <c r="F95" s="218"/>
      <c r="G95" s="55" t="s">
        <v>192</v>
      </c>
      <c r="H95" s="220" t="s">
        <v>192</v>
      </c>
      <c r="I95" s="55" t="s">
        <v>192</v>
      </c>
      <c r="K95" s="368" t="str">
        <f>$K$88</f>
        <v>NECPortabilidade</v>
      </c>
      <c r="L95" s="368" t="s">
        <v>201</v>
      </c>
    </row>
    <row r="96" spans="1:12" ht="13.5" thickBot="1" x14ac:dyDescent="0.25">
      <c r="A96" s="359"/>
      <c r="B96" s="363" t="s">
        <v>78</v>
      </c>
      <c r="C96" s="364"/>
      <c r="D96" s="210" t="s">
        <v>74</v>
      </c>
      <c r="E96" s="2" t="s">
        <v>75</v>
      </c>
      <c r="F96" s="4" t="s">
        <v>76</v>
      </c>
      <c r="G96" s="3" t="s">
        <v>74</v>
      </c>
      <c r="H96" s="3" t="s">
        <v>75</v>
      </c>
      <c r="I96" s="3" t="s">
        <v>76</v>
      </c>
      <c r="K96" s="371"/>
      <c r="L96" s="371"/>
    </row>
    <row r="97" spans="1:12" x14ac:dyDescent="0.2">
      <c r="A97" s="359"/>
      <c r="B97" s="365" t="s">
        <v>81</v>
      </c>
      <c r="C97" s="214" t="s">
        <v>74</v>
      </c>
      <c r="D97" s="211"/>
      <c r="E97" s="13"/>
      <c r="F97" s="14"/>
      <c r="G97" s="56" t="s">
        <v>192</v>
      </c>
      <c r="H97" s="56" t="s">
        <v>192</v>
      </c>
      <c r="I97" s="221" t="s">
        <v>192</v>
      </c>
      <c r="K97" s="371"/>
      <c r="L97" s="371"/>
    </row>
    <row r="98" spans="1:12" x14ac:dyDescent="0.2">
      <c r="A98" s="359"/>
      <c r="B98" s="366"/>
      <c r="C98" s="215" t="s">
        <v>75</v>
      </c>
      <c r="D98" s="212"/>
      <c r="E98" s="15"/>
      <c r="F98" s="16"/>
      <c r="G98" s="56" t="s">
        <v>192</v>
      </c>
      <c r="H98" s="219" t="s">
        <v>192</v>
      </c>
      <c r="I98" s="56" t="s">
        <v>192</v>
      </c>
      <c r="K98" s="371"/>
      <c r="L98" s="371"/>
    </row>
    <row r="99" spans="1:12" ht="13.5" thickBot="1" x14ac:dyDescent="0.25">
      <c r="A99" s="360"/>
      <c r="B99" s="367"/>
      <c r="C99" s="216" t="s">
        <v>76</v>
      </c>
      <c r="D99" s="213"/>
      <c r="E99" s="17"/>
      <c r="F99" s="18"/>
      <c r="G99" s="209" t="s">
        <v>192</v>
      </c>
      <c r="H99" s="57" t="s">
        <v>192</v>
      </c>
      <c r="I99" s="57" t="s">
        <v>192</v>
      </c>
      <c r="K99" s="372"/>
      <c r="L99" s="372"/>
    </row>
    <row r="100" spans="1:12" ht="13.5" thickBot="1" x14ac:dyDescent="0.25"/>
    <row r="101" spans="1:12" ht="13.5" thickBot="1" x14ac:dyDescent="0.25">
      <c r="A101" s="3" t="s">
        <v>79</v>
      </c>
      <c r="B101" s="356" t="s">
        <v>82</v>
      </c>
      <c r="C101" s="357"/>
      <c r="D101" s="2" t="s">
        <v>74</v>
      </c>
      <c r="E101" s="2" t="s">
        <v>75</v>
      </c>
      <c r="F101" s="4" t="s">
        <v>76</v>
      </c>
      <c r="G101" s="2" t="s">
        <v>74</v>
      </c>
      <c r="H101" s="3" t="s">
        <v>75</v>
      </c>
      <c r="I101" s="4" t="s">
        <v>76</v>
      </c>
      <c r="K101" s="228" t="s">
        <v>20</v>
      </c>
      <c r="L101" s="3" t="s">
        <v>198</v>
      </c>
    </row>
    <row r="102" spans="1:12" ht="13.5" thickBot="1" x14ac:dyDescent="0.25">
      <c r="A102" s="358" t="str">
        <f t="shared" ref="A102" si="23">CONCATENATE(K102," - ",L102)</f>
        <v>NECPortabilidade - Banco de Dados (DML,DDL)</v>
      </c>
      <c r="B102" s="361" t="s">
        <v>80</v>
      </c>
      <c r="C102" s="362"/>
      <c r="D102" s="217"/>
      <c r="E102" s="217"/>
      <c r="F102" s="218"/>
      <c r="G102" s="55" t="s">
        <v>192</v>
      </c>
      <c r="H102" s="220" t="s">
        <v>192</v>
      </c>
      <c r="I102" s="55" t="s">
        <v>192</v>
      </c>
      <c r="K102" s="368" t="s">
        <v>212</v>
      </c>
      <c r="L102" s="368" t="s">
        <v>202</v>
      </c>
    </row>
    <row r="103" spans="1:12" ht="13.5" thickBot="1" x14ac:dyDescent="0.25">
      <c r="A103" s="359"/>
      <c r="B103" s="363" t="s">
        <v>78</v>
      </c>
      <c r="C103" s="364"/>
      <c r="D103" s="210" t="s">
        <v>74</v>
      </c>
      <c r="E103" s="2" t="s">
        <v>75</v>
      </c>
      <c r="F103" s="4" t="s">
        <v>76</v>
      </c>
      <c r="G103" s="3" t="s">
        <v>74</v>
      </c>
      <c r="H103" s="3" t="s">
        <v>75</v>
      </c>
      <c r="I103" s="3" t="s">
        <v>76</v>
      </c>
      <c r="K103" s="371"/>
      <c r="L103" s="371"/>
    </row>
    <row r="104" spans="1:12" x14ac:dyDescent="0.2">
      <c r="A104" s="359"/>
      <c r="B104" s="365" t="s">
        <v>81</v>
      </c>
      <c r="C104" s="214" t="s">
        <v>74</v>
      </c>
      <c r="D104" s="211"/>
      <c r="E104" s="13"/>
      <c r="F104" s="14"/>
      <c r="G104" s="56" t="s">
        <v>192</v>
      </c>
      <c r="H104" s="56" t="s">
        <v>192</v>
      </c>
      <c r="I104" s="221" t="s">
        <v>192</v>
      </c>
      <c r="K104" s="371"/>
      <c r="L104" s="371"/>
    </row>
    <row r="105" spans="1:12" x14ac:dyDescent="0.2">
      <c r="A105" s="359"/>
      <c r="B105" s="366"/>
      <c r="C105" s="215" t="s">
        <v>75</v>
      </c>
      <c r="D105" s="212"/>
      <c r="E105" s="15"/>
      <c r="F105" s="16"/>
      <c r="G105" s="56" t="s">
        <v>192</v>
      </c>
      <c r="H105" s="219" t="s">
        <v>192</v>
      </c>
      <c r="I105" s="56" t="s">
        <v>192</v>
      </c>
      <c r="K105" s="371"/>
      <c r="L105" s="371"/>
    </row>
    <row r="106" spans="1:12" ht="13.5" thickBot="1" x14ac:dyDescent="0.25">
      <c r="A106" s="360"/>
      <c r="B106" s="367"/>
      <c r="C106" s="216" t="s">
        <v>76</v>
      </c>
      <c r="D106" s="213"/>
      <c r="E106" s="17"/>
      <c r="F106" s="18"/>
      <c r="G106" s="209" t="s">
        <v>192</v>
      </c>
      <c r="H106" s="57" t="s">
        <v>192</v>
      </c>
      <c r="I106" s="57" t="s">
        <v>192</v>
      </c>
      <c r="K106" s="372"/>
      <c r="L106" s="372"/>
    </row>
    <row r="107" spans="1:12" ht="13.5" thickBot="1" x14ac:dyDescent="0.25"/>
    <row r="108" spans="1:12" ht="13.5" thickBot="1" x14ac:dyDescent="0.25">
      <c r="A108" s="3" t="s">
        <v>79</v>
      </c>
      <c r="B108" s="356" t="s">
        <v>82</v>
      </c>
      <c r="C108" s="357"/>
      <c r="D108" s="2" t="s">
        <v>74</v>
      </c>
      <c r="E108" s="2" t="s">
        <v>75</v>
      </c>
      <c r="F108" s="4" t="s">
        <v>76</v>
      </c>
      <c r="G108" s="2" t="s">
        <v>74</v>
      </c>
      <c r="H108" s="3" t="s">
        <v>75</v>
      </c>
      <c r="I108" s="4" t="s">
        <v>76</v>
      </c>
      <c r="K108" s="228" t="s">
        <v>20</v>
      </c>
      <c r="L108" s="3" t="s">
        <v>198</v>
      </c>
    </row>
    <row r="109" spans="1:12" ht="13.5" thickBot="1" x14ac:dyDescent="0.25">
      <c r="A109" s="358" t="str">
        <f t="shared" ref="A109" si="24">CONCATENATE(K109," - ",L109)</f>
        <v>NECPortabilidade - Banco de Dados (PL/SQL)</v>
      </c>
      <c r="B109" s="361" t="s">
        <v>80</v>
      </c>
      <c r="C109" s="362"/>
      <c r="D109" s="217"/>
      <c r="E109" s="217"/>
      <c r="F109" s="218"/>
      <c r="G109" s="55" t="s">
        <v>192</v>
      </c>
      <c r="H109" s="220" t="s">
        <v>192</v>
      </c>
      <c r="I109" s="55" t="s">
        <v>192</v>
      </c>
      <c r="K109" s="368" t="s">
        <v>212</v>
      </c>
      <c r="L109" s="368" t="s">
        <v>203</v>
      </c>
    </row>
    <row r="110" spans="1:12" ht="13.5" thickBot="1" x14ac:dyDescent="0.25">
      <c r="A110" s="359"/>
      <c r="B110" s="363" t="s">
        <v>78</v>
      </c>
      <c r="C110" s="364"/>
      <c r="D110" s="210" t="s">
        <v>74</v>
      </c>
      <c r="E110" s="2" t="s">
        <v>75</v>
      </c>
      <c r="F110" s="4" t="s">
        <v>76</v>
      </c>
      <c r="G110" s="3" t="s">
        <v>74</v>
      </c>
      <c r="H110" s="3" t="s">
        <v>75</v>
      </c>
      <c r="I110" s="3" t="s">
        <v>76</v>
      </c>
      <c r="K110" s="371"/>
      <c r="L110" s="371"/>
    </row>
    <row r="111" spans="1:12" x14ac:dyDescent="0.2">
      <c r="A111" s="359"/>
      <c r="B111" s="365" t="s">
        <v>81</v>
      </c>
      <c r="C111" s="214" t="s">
        <v>74</v>
      </c>
      <c r="D111" s="211"/>
      <c r="E111" s="13"/>
      <c r="F111" s="14"/>
      <c r="G111" s="56" t="s">
        <v>192</v>
      </c>
      <c r="H111" s="56" t="s">
        <v>192</v>
      </c>
      <c r="I111" s="221" t="s">
        <v>192</v>
      </c>
      <c r="K111" s="371"/>
      <c r="L111" s="371"/>
    </row>
    <row r="112" spans="1:12" x14ac:dyDescent="0.2">
      <c r="A112" s="359"/>
      <c r="B112" s="366"/>
      <c r="C112" s="215" t="s">
        <v>75</v>
      </c>
      <c r="D112" s="212"/>
      <c r="E112" s="15"/>
      <c r="F112" s="16"/>
      <c r="G112" s="56" t="s">
        <v>192</v>
      </c>
      <c r="H112" s="219" t="s">
        <v>192</v>
      </c>
      <c r="I112" s="56" t="s">
        <v>192</v>
      </c>
      <c r="K112" s="371"/>
      <c r="L112" s="371"/>
    </row>
    <row r="113" spans="1:12" ht="13.5" thickBot="1" x14ac:dyDescent="0.25">
      <c r="A113" s="360"/>
      <c r="B113" s="367"/>
      <c r="C113" s="216" t="s">
        <v>76</v>
      </c>
      <c r="D113" s="213"/>
      <c r="E113" s="17"/>
      <c r="F113" s="18"/>
      <c r="G113" s="209" t="s">
        <v>192</v>
      </c>
      <c r="H113" s="57" t="s">
        <v>192</v>
      </c>
      <c r="I113" s="57" t="s">
        <v>192</v>
      </c>
      <c r="K113" s="372"/>
      <c r="L113" s="372"/>
    </row>
    <row r="114" spans="1:12" ht="13.5" thickBot="1" x14ac:dyDescent="0.25"/>
    <row r="115" spans="1:12" ht="13.5" thickBot="1" x14ac:dyDescent="0.25">
      <c r="A115" s="3" t="s">
        <v>79</v>
      </c>
      <c r="B115" s="356" t="s">
        <v>82</v>
      </c>
      <c r="C115" s="357"/>
      <c r="D115" s="2" t="s">
        <v>74</v>
      </c>
      <c r="E115" s="2" t="s">
        <v>75</v>
      </c>
      <c r="F115" s="4" t="s">
        <v>76</v>
      </c>
      <c r="G115" s="2" t="s">
        <v>74</v>
      </c>
      <c r="H115" s="3" t="s">
        <v>75</v>
      </c>
      <c r="I115" s="4" t="s">
        <v>76</v>
      </c>
      <c r="K115" s="228" t="s">
        <v>20</v>
      </c>
      <c r="L115" s="3" t="s">
        <v>198</v>
      </c>
    </row>
    <row r="116" spans="1:12" ht="13.5" thickBot="1" x14ac:dyDescent="0.25">
      <c r="A116" s="358" t="str">
        <f t="shared" ref="A116" si="25">CONCATENATE(K116," - ",L116)</f>
        <v>NECPortabilidade - JAVA: Interface WebService</v>
      </c>
      <c r="B116" s="361" t="s">
        <v>80</v>
      </c>
      <c r="C116" s="362"/>
      <c r="D116" s="217"/>
      <c r="E116" s="217"/>
      <c r="F116" s="218"/>
      <c r="G116" s="55" t="s">
        <v>192</v>
      </c>
      <c r="H116" s="220" t="s">
        <v>192</v>
      </c>
      <c r="I116" s="55" t="s">
        <v>192</v>
      </c>
      <c r="K116" s="368" t="s">
        <v>212</v>
      </c>
      <c r="L116" s="368" t="s">
        <v>204</v>
      </c>
    </row>
    <row r="117" spans="1:12" ht="13.5" thickBot="1" x14ac:dyDescent="0.25">
      <c r="A117" s="359"/>
      <c r="B117" s="363" t="s">
        <v>78</v>
      </c>
      <c r="C117" s="364"/>
      <c r="D117" s="210" t="s">
        <v>74</v>
      </c>
      <c r="E117" s="2" t="s">
        <v>75</v>
      </c>
      <c r="F117" s="4" t="s">
        <v>76</v>
      </c>
      <c r="G117" s="3" t="s">
        <v>74</v>
      </c>
      <c r="H117" s="3" t="s">
        <v>75</v>
      </c>
      <c r="I117" s="3" t="s">
        <v>76</v>
      </c>
      <c r="K117" s="371"/>
      <c r="L117" s="371"/>
    </row>
    <row r="118" spans="1:12" x14ac:dyDescent="0.2">
      <c r="A118" s="359"/>
      <c r="B118" s="365" t="s">
        <v>81</v>
      </c>
      <c r="C118" s="214" t="s">
        <v>74</v>
      </c>
      <c r="D118" s="211"/>
      <c r="E118" s="13"/>
      <c r="F118" s="14"/>
      <c r="G118" s="56" t="s">
        <v>192</v>
      </c>
      <c r="H118" s="56" t="s">
        <v>192</v>
      </c>
      <c r="I118" s="221" t="s">
        <v>192</v>
      </c>
      <c r="K118" s="371"/>
      <c r="L118" s="371"/>
    </row>
    <row r="119" spans="1:12" x14ac:dyDescent="0.2">
      <c r="A119" s="359"/>
      <c r="B119" s="366"/>
      <c r="C119" s="215" t="s">
        <v>75</v>
      </c>
      <c r="D119" s="212"/>
      <c r="E119" s="15"/>
      <c r="F119" s="16"/>
      <c r="G119" s="56" t="s">
        <v>192</v>
      </c>
      <c r="H119" s="219" t="s">
        <v>192</v>
      </c>
      <c r="I119" s="56" t="s">
        <v>192</v>
      </c>
      <c r="K119" s="371"/>
      <c r="L119" s="371"/>
    </row>
    <row r="120" spans="1:12" ht="13.5" thickBot="1" x14ac:dyDescent="0.25">
      <c r="A120" s="360"/>
      <c r="B120" s="367"/>
      <c r="C120" s="216" t="s">
        <v>76</v>
      </c>
      <c r="D120" s="213"/>
      <c r="E120" s="17"/>
      <c r="F120" s="18"/>
      <c r="G120" s="209" t="s">
        <v>192</v>
      </c>
      <c r="H120" s="57" t="s">
        <v>192</v>
      </c>
      <c r="I120" s="57" t="s">
        <v>192</v>
      </c>
      <c r="K120" s="372"/>
      <c r="L120" s="372"/>
    </row>
    <row r="121" spans="1:12" ht="13.5" thickBot="1" x14ac:dyDescent="0.25"/>
    <row r="122" spans="1:12" ht="13.5" thickBot="1" x14ac:dyDescent="0.25">
      <c r="A122" s="3" t="s">
        <v>79</v>
      </c>
      <c r="B122" s="356" t="s">
        <v>82</v>
      </c>
      <c r="C122" s="357"/>
      <c r="D122" s="2" t="s">
        <v>74</v>
      </c>
      <c r="E122" s="2" t="s">
        <v>75</v>
      </c>
      <c r="F122" s="4" t="s">
        <v>76</v>
      </c>
      <c r="G122" s="2" t="s">
        <v>74</v>
      </c>
      <c r="H122" s="3" t="s">
        <v>75</v>
      </c>
      <c r="I122" s="4" t="s">
        <v>76</v>
      </c>
      <c r="K122" s="228" t="s">
        <v>20</v>
      </c>
      <c r="L122" s="3" t="s">
        <v>198</v>
      </c>
    </row>
    <row r="123" spans="1:12" ht="13.5" thickBot="1" x14ac:dyDescent="0.25">
      <c r="A123" s="358" t="str">
        <f t="shared" ref="A123" si="26">CONCATENATE(K123," - ",L123)</f>
        <v>NECPortabilidade - JAVA: Transformação de Objetos</v>
      </c>
      <c r="B123" s="361" t="s">
        <v>80</v>
      </c>
      <c r="C123" s="362"/>
      <c r="D123" s="217"/>
      <c r="E123" s="217"/>
      <c r="F123" s="218"/>
      <c r="G123" s="55" t="s">
        <v>192</v>
      </c>
      <c r="H123" s="220" t="s">
        <v>192</v>
      </c>
      <c r="I123" s="55" t="s">
        <v>192</v>
      </c>
      <c r="K123" s="368" t="s">
        <v>212</v>
      </c>
      <c r="L123" s="368" t="s">
        <v>205</v>
      </c>
    </row>
    <row r="124" spans="1:12" ht="13.5" thickBot="1" x14ac:dyDescent="0.25">
      <c r="A124" s="359"/>
      <c r="B124" s="363" t="s">
        <v>78</v>
      </c>
      <c r="C124" s="364"/>
      <c r="D124" s="210" t="s">
        <v>74</v>
      </c>
      <c r="E124" s="2" t="s">
        <v>75</v>
      </c>
      <c r="F124" s="4" t="s">
        <v>76</v>
      </c>
      <c r="G124" s="3" t="s">
        <v>74</v>
      </c>
      <c r="H124" s="3" t="s">
        <v>75</v>
      </c>
      <c r="I124" s="3" t="s">
        <v>76</v>
      </c>
      <c r="K124" s="371"/>
      <c r="L124" s="371"/>
    </row>
    <row r="125" spans="1:12" x14ac:dyDescent="0.2">
      <c r="A125" s="359"/>
      <c r="B125" s="365" t="s">
        <v>81</v>
      </c>
      <c r="C125" s="214" t="s">
        <v>74</v>
      </c>
      <c r="D125" s="211"/>
      <c r="E125" s="13"/>
      <c r="F125" s="14"/>
      <c r="G125" s="56" t="s">
        <v>192</v>
      </c>
      <c r="H125" s="56" t="s">
        <v>192</v>
      </c>
      <c r="I125" s="221" t="s">
        <v>192</v>
      </c>
      <c r="K125" s="371"/>
      <c r="L125" s="371"/>
    </row>
    <row r="126" spans="1:12" x14ac:dyDescent="0.2">
      <c r="A126" s="359"/>
      <c r="B126" s="366"/>
      <c r="C126" s="215" t="s">
        <v>75</v>
      </c>
      <c r="D126" s="212"/>
      <c r="E126" s="15"/>
      <c r="F126" s="16"/>
      <c r="G126" s="56" t="s">
        <v>192</v>
      </c>
      <c r="H126" s="219" t="s">
        <v>192</v>
      </c>
      <c r="I126" s="56" t="s">
        <v>192</v>
      </c>
      <c r="K126" s="371"/>
      <c r="L126" s="371"/>
    </row>
    <row r="127" spans="1:12" ht="13.5" thickBot="1" x14ac:dyDescent="0.25">
      <c r="A127" s="360"/>
      <c r="B127" s="367"/>
      <c r="C127" s="216" t="s">
        <v>76</v>
      </c>
      <c r="D127" s="213"/>
      <c r="E127" s="17"/>
      <c r="F127" s="18"/>
      <c r="G127" s="209" t="s">
        <v>192</v>
      </c>
      <c r="H127" s="57" t="s">
        <v>192</v>
      </c>
      <c r="I127" s="57" t="s">
        <v>192</v>
      </c>
      <c r="K127" s="372"/>
      <c r="L127" s="372"/>
    </row>
    <row r="128" spans="1:12" ht="13.5" thickBot="1" x14ac:dyDescent="0.25"/>
    <row r="129" spans="1:12" ht="13.5" thickBot="1" x14ac:dyDescent="0.25">
      <c r="A129" s="3" t="s">
        <v>79</v>
      </c>
      <c r="B129" s="356" t="s">
        <v>82</v>
      </c>
      <c r="C129" s="357"/>
      <c r="D129" s="2" t="s">
        <v>74</v>
      </c>
      <c r="E129" s="2" t="s">
        <v>75</v>
      </c>
      <c r="F129" s="4" t="s">
        <v>76</v>
      </c>
      <c r="G129" s="2" t="s">
        <v>74</v>
      </c>
      <c r="H129" s="3" t="s">
        <v>75</v>
      </c>
      <c r="I129" s="4" t="s">
        <v>76</v>
      </c>
      <c r="K129" s="228" t="s">
        <v>20</v>
      </c>
      <c r="L129" s="3" t="s">
        <v>198</v>
      </c>
    </row>
    <row r="130" spans="1:12" ht="13.5" thickBot="1" x14ac:dyDescent="0.25">
      <c r="A130" s="358" t="str">
        <f t="shared" ref="A130" si="27">CONCATENATE(K130," - ",L130)</f>
        <v>NECPortabilidade - JAVA: Métodos de Negócio (Controller)</v>
      </c>
      <c r="B130" s="361" t="s">
        <v>80</v>
      </c>
      <c r="C130" s="362"/>
      <c r="D130" s="217"/>
      <c r="E130" s="217"/>
      <c r="F130" s="218"/>
      <c r="G130" s="55" t="s">
        <v>192</v>
      </c>
      <c r="H130" s="220" t="s">
        <v>192</v>
      </c>
      <c r="I130" s="55" t="s">
        <v>192</v>
      </c>
      <c r="K130" s="368" t="s">
        <v>212</v>
      </c>
      <c r="L130" s="368" t="s">
        <v>206</v>
      </c>
    </row>
    <row r="131" spans="1:12" ht="13.5" thickBot="1" x14ac:dyDescent="0.25">
      <c r="A131" s="359"/>
      <c r="B131" s="363" t="s">
        <v>78</v>
      </c>
      <c r="C131" s="364"/>
      <c r="D131" s="210" t="s">
        <v>74</v>
      </c>
      <c r="E131" s="2" t="s">
        <v>75</v>
      </c>
      <c r="F131" s="4" t="s">
        <v>76</v>
      </c>
      <c r="G131" s="3" t="s">
        <v>74</v>
      </c>
      <c r="H131" s="3" t="s">
        <v>75</v>
      </c>
      <c r="I131" s="3" t="s">
        <v>76</v>
      </c>
      <c r="K131" s="371"/>
      <c r="L131" s="371"/>
    </row>
    <row r="132" spans="1:12" x14ac:dyDescent="0.2">
      <c r="A132" s="359"/>
      <c r="B132" s="365" t="s">
        <v>81</v>
      </c>
      <c r="C132" s="214" t="s">
        <v>74</v>
      </c>
      <c r="D132" s="211"/>
      <c r="E132" s="13"/>
      <c r="F132" s="14"/>
      <c r="G132" s="56" t="s">
        <v>192</v>
      </c>
      <c r="H132" s="56" t="s">
        <v>192</v>
      </c>
      <c r="I132" s="221" t="s">
        <v>192</v>
      </c>
      <c r="K132" s="371"/>
      <c r="L132" s="371"/>
    </row>
    <row r="133" spans="1:12" x14ac:dyDescent="0.2">
      <c r="A133" s="359"/>
      <c r="B133" s="366"/>
      <c r="C133" s="215" t="s">
        <v>75</v>
      </c>
      <c r="D133" s="212"/>
      <c r="E133" s="15"/>
      <c r="F133" s="16"/>
      <c r="G133" s="56" t="s">
        <v>192</v>
      </c>
      <c r="H133" s="219" t="s">
        <v>192</v>
      </c>
      <c r="I133" s="56" t="s">
        <v>192</v>
      </c>
      <c r="K133" s="371"/>
      <c r="L133" s="371"/>
    </row>
    <row r="134" spans="1:12" ht="13.5" thickBot="1" x14ac:dyDescent="0.25">
      <c r="A134" s="360"/>
      <c r="B134" s="367"/>
      <c r="C134" s="216" t="s">
        <v>76</v>
      </c>
      <c r="D134" s="213"/>
      <c r="E134" s="17"/>
      <c r="F134" s="18"/>
      <c r="G134" s="209" t="s">
        <v>192</v>
      </c>
      <c r="H134" s="57" t="s">
        <v>192</v>
      </c>
      <c r="I134" s="57" t="s">
        <v>192</v>
      </c>
      <c r="K134" s="372"/>
      <c r="L134" s="372"/>
    </row>
    <row r="135" spans="1:12" ht="13.5" thickBot="1" x14ac:dyDescent="0.25"/>
    <row r="136" spans="1:12" ht="13.5" thickBot="1" x14ac:dyDescent="0.25">
      <c r="A136" s="3" t="s">
        <v>79</v>
      </c>
      <c r="B136" s="356" t="s">
        <v>82</v>
      </c>
      <c r="C136" s="357"/>
      <c r="D136" s="2" t="s">
        <v>74</v>
      </c>
      <c r="E136" s="2" t="s">
        <v>75</v>
      </c>
      <c r="F136" s="4" t="s">
        <v>76</v>
      </c>
      <c r="G136" s="2" t="s">
        <v>74</v>
      </c>
      <c r="H136" s="3" t="s">
        <v>75</v>
      </c>
      <c r="I136" s="4" t="s">
        <v>76</v>
      </c>
      <c r="K136" s="228" t="s">
        <v>20</v>
      </c>
      <c r="L136" s="3" t="s">
        <v>198</v>
      </c>
    </row>
    <row r="137" spans="1:12" ht="13.5" thickBot="1" x14ac:dyDescent="0.25">
      <c r="A137" s="358" t="str">
        <f t="shared" ref="A137" si="28">CONCATENATE(K137," - ",L137)</f>
        <v>NECPortabilidade - JAVA: Entity</v>
      </c>
      <c r="B137" s="361" t="s">
        <v>80</v>
      </c>
      <c r="C137" s="362"/>
      <c r="D137" s="217"/>
      <c r="E137" s="217"/>
      <c r="F137" s="218"/>
      <c r="G137" s="55" t="s">
        <v>192</v>
      </c>
      <c r="H137" s="220" t="s">
        <v>192</v>
      </c>
      <c r="I137" s="55" t="s">
        <v>192</v>
      </c>
      <c r="K137" s="368" t="s">
        <v>212</v>
      </c>
      <c r="L137" s="368" t="s">
        <v>207</v>
      </c>
    </row>
    <row r="138" spans="1:12" ht="13.5" thickBot="1" x14ac:dyDescent="0.25">
      <c r="A138" s="359"/>
      <c r="B138" s="363" t="s">
        <v>78</v>
      </c>
      <c r="C138" s="364"/>
      <c r="D138" s="210" t="s">
        <v>74</v>
      </c>
      <c r="E138" s="2" t="s">
        <v>75</v>
      </c>
      <c r="F138" s="4" t="s">
        <v>76</v>
      </c>
      <c r="G138" s="3" t="s">
        <v>74</v>
      </c>
      <c r="H138" s="3" t="s">
        <v>75</v>
      </c>
      <c r="I138" s="3" t="s">
        <v>76</v>
      </c>
      <c r="K138" s="371"/>
      <c r="L138" s="371"/>
    </row>
    <row r="139" spans="1:12" x14ac:dyDescent="0.2">
      <c r="A139" s="359"/>
      <c r="B139" s="365" t="s">
        <v>81</v>
      </c>
      <c r="C139" s="214" t="s">
        <v>74</v>
      </c>
      <c r="D139" s="211"/>
      <c r="E139" s="13"/>
      <c r="F139" s="14"/>
      <c r="G139" s="56" t="s">
        <v>192</v>
      </c>
      <c r="H139" s="56" t="s">
        <v>192</v>
      </c>
      <c r="I139" s="221" t="s">
        <v>192</v>
      </c>
      <c r="K139" s="371"/>
      <c r="L139" s="371"/>
    </row>
    <row r="140" spans="1:12" x14ac:dyDescent="0.2">
      <c r="A140" s="359"/>
      <c r="B140" s="366"/>
      <c r="C140" s="215" t="s">
        <v>75</v>
      </c>
      <c r="D140" s="212"/>
      <c r="E140" s="15"/>
      <c r="F140" s="16"/>
      <c r="G140" s="56" t="s">
        <v>192</v>
      </c>
      <c r="H140" s="219" t="s">
        <v>192</v>
      </c>
      <c r="I140" s="56" t="s">
        <v>192</v>
      </c>
      <c r="K140" s="371"/>
      <c r="L140" s="371"/>
    </row>
    <row r="141" spans="1:12" ht="13.5" thickBot="1" x14ac:dyDescent="0.25">
      <c r="A141" s="360"/>
      <c r="B141" s="367"/>
      <c r="C141" s="216" t="s">
        <v>76</v>
      </c>
      <c r="D141" s="213"/>
      <c r="E141" s="17"/>
      <c r="F141" s="18"/>
      <c r="G141" s="209" t="s">
        <v>192</v>
      </c>
      <c r="H141" s="57" t="s">
        <v>192</v>
      </c>
      <c r="I141" s="57" t="s">
        <v>192</v>
      </c>
      <c r="K141" s="372"/>
      <c r="L141" s="372"/>
    </row>
    <row r="142" spans="1:12" ht="13.5" thickBot="1" x14ac:dyDescent="0.25"/>
    <row r="143" spans="1:12" ht="13.5" thickBot="1" x14ac:dyDescent="0.25">
      <c r="A143" s="3" t="s">
        <v>79</v>
      </c>
      <c r="B143" s="356" t="s">
        <v>82</v>
      </c>
      <c r="C143" s="357"/>
      <c r="D143" s="2" t="s">
        <v>74</v>
      </c>
      <c r="E143" s="2" t="s">
        <v>75</v>
      </c>
      <c r="F143" s="4" t="s">
        <v>76</v>
      </c>
      <c r="G143" s="2" t="s">
        <v>74</v>
      </c>
      <c r="H143" s="3" t="s">
        <v>75</v>
      </c>
      <c r="I143" s="4" t="s">
        <v>76</v>
      </c>
      <c r="K143" s="228" t="s">
        <v>20</v>
      </c>
      <c r="L143" s="3" t="s">
        <v>198</v>
      </c>
    </row>
    <row r="144" spans="1:12" ht="13.5" thickBot="1" x14ac:dyDescent="0.25">
      <c r="A144" s="358" t="str">
        <f t="shared" ref="A144" si="29">CONCATENATE(K144," - ",L144)</f>
        <v>NECPortabilidade - JAVA: Consulta Banco de Dados</v>
      </c>
      <c r="B144" s="361" t="s">
        <v>80</v>
      </c>
      <c r="C144" s="362"/>
      <c r="D144" s="217"/>
      <c r="E144" s="217"/>
      <c r="F144" s="218"/>
      <c r="G144" s="55" t="s">
        <v>192</v>
      </c>
      <c r="H144" s="220" t="s">
        <v>192</v>
      </c>
      <c r="I144" s="55" t="s">
        <v>192</v>
      </c>
      <c r="K144" s="368" t="s">
        <v>212</v>
      </c>
      <c r="L144" s="368" t="s">
        <v>208</v>
      </c>
    </row>
    <row r="145" spans="1:12" ht="13.5" thickBot="1" x14ac:dyDescent="0.25">
      <c r="A145" s="359"/>
      <c r="B145" s="363" t="s">
        <v>78</v>
      </c>
      <c r="C145" s="364"/>
      <c r="D145" s="210" t="s">
        <v>74</v>
      </c>
      <c r="E145" s="2" t="s">
        <v>75</v>
      </c>
      <c r="F145" s="4" t="s">
        <v>76</v>
      </c>
      <c r="G145" s="3" t="s">
        <v>74</v>
      </c>
      <c r="H145" s="3" t="s">
        <v>75</v>
      </c>
      <c r="I145" s="3" t="s">
        <v>76</v>
      </c>
      <c r="K145" s="371"/>
      <c r="L145" s="371"/>
    </row>
    <row r="146" spans="1:12" x14ac:dyDescent="0.2">
      <c r="A146" s="359"/>
      <c r="B146" s="365" t="s">
        <v>81</v>
      </c>
      <c r="C146" s="214" t="s">
        <v>74</v>
      </c>
      <c r="D146" s="211"/>
      <c r="E146" s="13"/>
      <c r="F146" s="14"/>
      <c r="G146" s="56" t="s">
        <v>192</v>
      </c>
      <c r="H146" s="56" t="s">
        <v>192</v>
      </c>
      <c r="I146" s="221" t="s">
        <v>192</v>
      </c>
      <c r="K146" s="371"/>
      <c r="L146" s="371"/>
    </row>
    <row r="147" spans="1:12" x14ac:dyDescent="0.2">
      <c r="A147" s="359"/>
      <c r="B147" s="366"/>
      <c r="C147" s="215" t="s">
        <v>75</v>
      </c>
      <c r="D147" s="212"/>
      <c r="E147" s="15"/>
      <c r="F147" s="16"/>
      <c r="G147" s="56" t="s">
        <v>192</v>
      </c>
      <c r="H147" s="219" t="s">
        <v>192</v>
      </c>
      <c r="I147" s="56" t="s">
        <v>192</v>
      </c>
      <c r="K147" s="371"/>
      <c r="L147" s="371"/>
    </row>
    <row r="148" spans="1:12" ht="13.5" thickBot="1" x14ac:dyDescent="0.25">
      <c r="A148" s="360"/>
      <c r="B148" s="367"/>
      <c r="C148" s="216" t="s">
        <v>76</v>
      </c>
      <c r="D148" s="213"/>
      <c r="E148" s="17"/>
      <c r="F148" s="18"/>
      <c r="G148" s="209" t="s">
        <v>192</v>
      </c>
      <c r="H148" s="57" t="s">
        <v>192</v>
      </c>
      <c r="I148" s="57" t="s">
        <v>192</v>
      </c>
      <c r="K148" s="372"/>
      <c r="L148" s="372"/>
    </row>
    <row r="149" spans="1:12" ht="13.5" thickBot="1" x14ac:dyDescent="0.25"/>
    <row r="150" spans="1:12" ht="13.5" thickBot="1" x14ac:dyDescent="0.25">
      <c r="A150" s="3" t="s">
        <v>79</v>
      </c>
      <c r="B150" s="356" t="s">
        <v>82</v>
      </c>
      <c r="C150" s="357"/>
      <c r="D150" s="2" t="s">
        <v>74</v>
      </c>
      <c r="E150" s="2" t="s">
        <v>75</v>
      </c>
      <c r="F150" s="4" t="s">
        <v>76</v>
      </c>
      <c r="G150" s="2" t="s">
        <v>74</v>
      </c>
      <c r="H150" s="3" t="s">
        <v>75</v>
      </c>
      <c r="I150" s="4" t="s">
        <v>76</v>
      </c>
      <c r="K150" s="228" t="s">
        <v>20</v>
      </c>
      <c r="L150" s="3" t="s">
        <v>198</v>
      </c>
    </row>
    <row r="151" spans="1:12" ht="13.5" thickBot="1" x14ac:dyDescent="0.25">
      <c r="A151" s="358" t="str">
        <f t="shared" ref="A151" si="30">CONCATENATE(K151," - ",L151)</f>
        <v>NECPortabilidade - JAVA: Geração de Stubs</v>
      </c>
      <c r="B151" s="361" t="s">
        <v>80</v>
      </c>
      <c r="C151" s="362"/>
      <c r="D151" s="217"/>
      <c r="E151" s="217"/>
      <c r="F151" s="218"/>
      <c r="G151" s="55" t="s">
        <v>192</v>
      </c>
      <c r="H151" s="220" t="s">
        <v>192</v>
      </c>
      <c r="I151" s="55" t="s">
        <v>192</v>
      </c>
      <c r="K151" s="368" t="s">
        <v>212</v>
      </c>
      <c r="L151" s="368" t="s">
        <v>209</v>
      </c>
    </row>
    <row r="152" spans="1:12" ht="13.5" thickBot="1" x14ac:dyDescent="0.25">
      <c r="A152" s="359"/>
      <c r="B152" s="363" t="s">
        <v>78</v>
      </c>
      <c r="C152" s="364"/>
      <c r="D152" s="210" t="s">
        <v>74</v>
      </c>
      <c r="E152" s="2" t="s">
        <v>75</v>
      </c>
      <c r="F152" s="4" t="s">
        <v>76</v>
      </c>
      <c r="G152" s="3" t="s">
        <v>74</v>
      </c>
      <c r="H152" s="3" t="s">
        <v>75</v>
      </c>
      <c r="I152" s="3" t="s">
        <v>76</v>
      </c>
      <c r="K152" s="371"/>
      <c r="L152" s="371"/>
    </row>
    <row r="153" spans="1:12" x14ac:dyDescent="0.2">
      <c r="A153" s="359"/>
      <c r="B153" s="365" t="s">
        <v>81</v>
      </c>
      <c r="C153" s="214" t="s">
        <v>74</v>
      </c>
      <c r="D153" s="211"/>
      <c r="E153" s="13"/>
      <c r="F153" s="14"/>
      <c r="G153" s="56" t="s">
        <v>192</v>
      </c>
      <c r="H153" s="56" t="s">
        <v>192</v>
      </c>
      <c r="I153" s="221" t="s">
        <v>192</v>
      </c>
      <c r="K153" s="371"/>
      <c r="L153" s="371"/>
    </row>
    <row r="154" spans="1:12" x14ac:dyDescent="0.2">
      <c r="A154" s="359"/>
      <c r="B154" s="366"/>
      <c r="C154" s="215" t="s">
        <v>75</v>
      </c>
      <c r="D154" s="212"/>
      <c r="E154" s="15"/>
      <c r="F154" s="16"/>
      <c r="G154" s="56" t="s">
        <v>192</v>
      </c>
      <c r="H154" s="219" t="s">
        <v>192</v>
      </c>
      <c r="I154" s="56" t="s">
        <v>192</v>
      </c>
      <c r="K154" s="371"/>
      <c r="L154" s="371"/>
    </row>
    <row r="155" spans="1:12" ht="13.5" thickBot="1" x14ac:dyDescent="0.25">
      <c r="A155" s="360"/>
      <c r="B155" s="367"/>
      <c r="C155" s="216" t="s">
        <v>76</v>
      </c>
      <c r="D155" s="213"/>
      <c r="E155" s="17"/>
      <c r="F155" s="18"/>
      <c r="G155" s="209" t="s">
        <v>192</v>
      </c>
      <c r="H155" s="57" t="s">
        <v>192</v>
      </c>
      <c r="I155" s="57" t="s">
        <v>192</v>
      </c>
      <c r="K155" s="372"/>
      <c r="L155" s="372"/>
    </row>
    <row r="156" spans="1:12" ht="13.5" thickBot="1" x14ac:dyDescent="0.25"/>
    <row r="157" spans="1:12" ht="13.5" thickBot="1" x14ac:dyDescent="0.25">
      <c r="A157" s="3" t="s">
        <v>79</v>
      </c>
      <c r="B157" s="356" t="s">
        <v>82</v>
      </c>
      <c r="C157" s="357"/>
      <c r="D157" s="2" t="s">
        <v>74</v>
      </c>
      <c r="E157" s="2" t="s">
        <v>75</v>
      </c>
      <c r="F157" s="4" t="s">
        <v>76</v>
      </c>
      <c r="G157" s="2" t="s">
        <v>74</v>
      </c>
      <c r="H157" s="3" t="s">
        <v>75</v>
      </c>
      <c r="I157" s="4" t="s">
        <v>76</v>
      </c>
      <c r="K157" s="228" t="s">
        <v>20</v>
      </c>
      <c r="L157" s="3" t="s">
        <v>198</v>
      </c>
    </row>
    <row r="158" spans="1:12" ht="13.5" thickBot="1" x14ac:dyDescent="0.25">
      <c r="A158" s="358" t="str">
        <f t="shared" ref="A158" si="31">CONCATENATE(K158," - ",L158)</f>
        <v>NECPortabilidade - JSP</v>
      </c>
      <c r="B158" s="361" t="s">
        <v>80</v>
      </c>
      <c r="C158" s="362"/>
      <c r="D158" s="217"/>
      <c r="E158" s="217"/>
      <c r="F158" s="218"/>
      <c r="G158" s="55" t="s">
        <v>192</v>
      </c>
      <c r="H158" s="220" t="s">
        <v>192</v>
      </c>
      <c r="I158" s="55" t="s">
        <v>192</v>
      </c>
      <c r="K158" s="368" t="s">
        <v>212</v>
      </c>
      <c r="L158" s="368" t="s">
        <v>210</v>
      </c>
    </row>
    <row r="159" spans="1:12" ht="13.5" thickBot="1" x14ac:dyDescent="0.25">
      <c r="A159" s="359"/>
      <c r="B159" s="363" t="s">
        <v>78</v>
      </c>
      <c r="C159" s="364"/>
      <c r="D159" s="210" t="s">
        <v>74</v>
      </c>
      <c r="E159" s="2" t="s">
        <v>75</v>
      </c>
      <c r="F159" s="4" t="s">
        <v>76</v>
      </c>
      <c r="G159" s="3" t="s">
        <v>74</v>
      </c>
      <c r="H159" s="3" t="s">
        <v>75</v>
      </c>
      <c r="I159" s="3" t="s">
        <v>76</v>
      </c>
      <c r="K159" s="371"/>
      <c r="L159" s="371"/>
    </row>
    <row r="160" spans="1:12" x14ac:dyDescent="0.2">
      <c r="A160" s="359"/>
      <c r="B160" s="365" t="s">
        <v>81</v>
      </c>
      <c r="C160" s="214" t="s">
        <v>74</v>
      </c>
      <c r="D160" s="211"/>
      <c r="E160" s="13"/>
      <c r="F160" s="14"/>
      <c r="G160" s="56" t="s">
        <v>192</v>
      </c>
      <c r="H160" s="56" t="s">
        <v>192</v>
      </c>
      <c r="I160" s="221" t="s">
        <v>192</v>
      </c>
      <c r="K160" s="371"/>
      <c r="L160" s="371"/>
    </row>
    <row r="161" spans="1:12" x14ac:dyDescent="0.2">
      <c r="A161" s="359"/>
      <c r="B161" s="366"/>
      <c r="C161" s="215" t="s">
        <v>75</v>
      </c>
      <c r="D161" s="212"/>
      <c r="E161" s="15"/>
      <c r="F161" s="16"/>
      <c r="G161" s="56" t="s">
        <v>192</v>
      </c>
      <c r="H161" s="219" t="s">
        <v>192</v>
      </c>
      <c r="I161" s="56" t="s">
        <v>192</v>
      </c>
      <c r="K161" s="371"/>
      <c r="L161" s="371"/>
    </row>
    <row r="162" spans="1:12" ht="13.5" thickBot="1" x14ac:dyDescent="0.25">
      <c r="A162" s="360"/>
      <c r="B162" s="367"/>
      <c r="C162" s="216" t="s">
        <v>76</v>
      </c>
      <c r="D162" s="213"/>
      <c r="E162" s="17"/>
      <c r="F162" s="18"/>
      <c r="G162" s="209" t="s">
        <v>192</v>
      </c>
      <c r="H162" s="57" t="s">
        <v>192</v>
      </c>
      <c r="I162" s="57" t="s">
        <v>192</v>
      </c>
      <c r="K162" s="372"/>
      <c r="L162" s="372"/>
    </row>
    <row r="163" spans="1:12" ht="13.5" thickBot="1" x14ac:dyDescent="0.25"/>
    <row r="164" spans="1:12" ht="13.5" thickBot="1" x14ac:dyDescent="0.25">
      <c r="A164" s="3" t="s">
        <v>79</v>
      </c>
      <c r="B164" s="356" t="s">
        <v>82</v>
      </c>
      <c r="C164" s="357"/>
      <c r="D164" s="2" t="s">
        <v>74</v>
      </c>
      <c r="E164" s="2" t="s">
        <v>75</v>
      </c>
      <c r="F164" s="4" t="s">
        <v>76</v>
      </c>
      <c r="G164" s="2" t="s">
        <v>74</v>
      </c>
      <c r="H164" s="3" t="s">
        <v>75</v>
      </c>
      <c r="I164" s="4" t="s">
        <v>76</v>
      </c>
      <c r="K164" s="228" t="s">
        <v>20</v>
      </c>
      <c r="L164" s="3" t="s">
        <v>198</v>
      </c>
    </row>
    <row r="165" spans="1:12" ht="13.5" thickBot="1" x14ac:dyDescent="0.25">
      <c r="A165" s="358" t="str">
        <f t="shared" ref="A165" si="32">CONCATENATE(K165," - ",L165)</f>
        <v>NECPortabilidade - Configuração de Projeto/Modulo</v>
      </c>
      <c r="B165" s="361" t="s">
        <v>80</v>
      </c>
      <c r="C165" s="362"/>
      <c r="D165" s="217"/>
      <c r="E165" s="217"/>
      <c r="F165" s="218"/>
      <c r="G165" s="55" t="s">
        <v>192</v>
      </c>
      <c r="H165" s="220" t="s">
        <v>192</v>
      </c>
      <c r="I165" s="55" t="s">
        <v>192</v>
      </c>
      <c r="K165" s="368" t="s">
        <v>212</v>
      </c>
      <c r="L165" s="368" t="s">
        <v>211</v>
      </c>
    </row>
    <row r="166" spans="1:12" ht="13.5" thickBot="1" x14ac:dyDescent="0.25">
      <c r="A166" s="359"/>
      <c r="B166" s="363" t="s">
        <v>78</v>
      </c>
      <c r="C166" s="364"/>
      <c r="D166" s="210" t="s">
        <v>74</v>
      </c>
      <c r="E166" s="2" t="s">
        <v>75</v>
      </c>
      <c r="F166" s="4" t="s">
        <v>76</v>
      </c>
      <c r="G166" s="3" t="s">
        <v>74</v>
      </c>
      <c r="H166" s="3" t="s">
        <v>75</v>
      </c>
      <c r="I166" s="3" t="s">
        <v>76</v>
      </c>
      <c r="K166" s="371"/>
      <c r="L166" s="371"/>
    </row>
    <row r="167" spans="1:12" x14ac:dyDescent="0.2">
      <c r="A167" s="359"/>
      <c r="B167" s="365" t="s">
        <v>81</v>
      </c>
      <c r="C167" s="214" t="s">
        <v>74</v>
      </c>
      <c r="D167" s="211"/>
      <c r="E167" s="13"/>
      <c r="F167" s="14"/>
      <c r="G167" s="56" t="s">
        <v>192</v>
      </c>
      <c r="H167" s="56" t="s">
        <v>192</v>
      </c>
      <c r="I167" s="221" t="s">
        <v>192</v>
      </c>
      <c r="K167" s="371"/>
      <c r="L167" s="371"/>
    </row>
    <row r="168" spans="1:12" x14ac:dyDescent="0.2">
      <c r="A168" s="359"/>
      <c r="B168" s="366"/>
      <c r="C168" s="215" t="s">
        <v>75</v>
      </c>
      <c r="D168" s="212"/>
      <c r="E168" s="15"/>
      <c r="F168" s="16"/>
      <c r="G168" s="56" t="s">
        <v>192</v>
      </c>
      <c r="H168" s="219" t="s">
        <v>192</v>
      </c>
      <c r="I168" s="56" t="s">
        <v>192</v>
      </c>
      <c r="K168" s="371"/>
      <c r="L168" s="371"/>
    </row>
    <row r="169" spans="1:12" ht="13.5" thickBot="1" x14ac:dyDescent="0.25">
      <c r="A169" s="360"/>
      <c r="B169" s="367"/>
      <c r="C169" s="216" t="s">
        <v>76</v>
      </c>
      <c r="D169" s="213"/>
      <c r="E169" s="17"/>
      <c r="F169" s="18"/>
      <c r="G169" s="209" t="s">
        <v>192</v>
      </c>
      <c r="H169" s="57" t="s">
        <v>192</v>
      </c>
      <c r="I169" s="57" t="s">
        <v>192</v>
      </c>
      <c r="K169" s="372"/>
      <c r="L169" s="372"/>
    </row>
    <row r="170" spans="1:12" ht="13.5" thickBot="1" x14ac:dyDescent="0.25"/>
    <row r="171" spans="1:12" ht="13.5" thickBot="1" x14ac:dyDescent="0.25">
      <c r="A171" s="3" t="s">
        <v>79</v>
      </c>
      <c r="B171" s="356" t="s">
        <v>82</v>
      </c>
      <c r="C171" s="357"/>
      <c r="D171" s="2" t="s">
        <v>74</v>
      </c>
      <c r="E171" s="2" t="s">
        <v>75</v>
      </c>
      <c r="F171" s="4" t="s">
        <v>76</v>
      </c>
      <c r="G171" s="2" t="s">
        <v>74</v>
      </c>
      <c r="H171" s="3" t="s">
        <v>75</v>
      </c>
      <c r="I171" s="4" t="s">
        <v>76</v>
      </c>
      <c r="K171" s="228" t="s">
        <v>20</v>
      </c>
      <c r="L171" s="3" t="s">
        <v>198</v>
      </c>
    </row>
    <row r="172" spans="1:12" ht="13.5" thickBot="1" x14ac:dyDescent="0.25">
      <c r="A172" s="358" t="str">
        <f t="shared" ref="A172" si="33">CONCATENATE(K172," - ",L172)</f>
        <v>NECGateway - Regra Drools</v>
      </c>
      <c r="B172" s="361" t="s">
        <v>80</v>
      </c>
      <c r="C172" s="362"/>
      <c r="D172" s="217"/>
      <c r="E172" s="217"/>
      <c r="F172" s="218"/>
      <c r="G172" s="55" t="s">
        <v>192</v>
      </c>
      <c r="H172" s="220" t="s">
        <v>192</v>
      </c>
      <c r="I172" s="55" t="s">
        <v>192</v>
      </c>
      <c r="K172" s="368" t="s">
        <v>213</v>
      </c>
      <c r="L172" s="373" t="s">
        <v>200</v>
      </c>
    </row>
    <row r="173" spans="1:12" ht="13.5" thickBot="1" x14ac:dyDescent="0.25">
      <c r="A173" s="359"/>
      <c r="B173" s="363" t="s">
        <v>78</v>
      </c>
      <c r="C173" s="364"/>
      <c r="D173" s="210" t="s">
        <v>74</v>
      </c>
      <c r="E173" s="2" t="s">
        <v>75</v>
      </c>
      <c r="F173" s="4" t="s">
        <v>76</v>
      </c>
      <c r="G173" s="3" t="s">
        <v>74</v>
      </c>
      <c r="H173" s="3" t="s">
        <v>75</v>
      </c>
      <c r="I173" s="3" t="s">
        <v>76</v>
      </c>
      <c r="K173" s="371"/>
      <c r="L173" s="371"/>
    </row>
    <row r="174" spans="1:12" x14ac:dyDescent="0.2">
      <c r="A174" s="359"/>
      <c r="B174" s="365" t="s">
        <v>81</v>
      </c>
      <c r="C174" s="214" t="s">
        <v>74</v>
      </c>
      <c r="D174" s="211"/>
      <c r="E174" s="13"/>
      <c r="F174" s="14"/>
      <c r="G174" s="56" t="s">
        <v>192</v>
      </c>
      <c r="H174" s="56" t="s">
        <v>192</v>
      </c>
      <c r="I174" s="221" t="s">
        <v>192</v>
      </c>
      <c r="K174" s="371"/>
      <c r="L174" s="371"/>
    </row>
    <row r="175" spans="1:12" x14ac:dyDescent="0.2">
      <c r="A175" s="359"/>
      <c r="B175" s="366"/>
      <c r="C175" s="215" t="s">
        <v>75</v>
      </c>
      <c r="D175" s="212"/>
      <c r="E175" s="15"/>
      <c r="F175" s="16"/>
      <c r="G175" s="56" t="s">
        <v>192</v>
      </c>
      <c r="H175" s="219" t="s">
        <v>192</v>
      </c>
      <c r="I175" s="56" t="s">
        <v>192</v>
      </c>
      <c r="K175" s="371"/>
      <c r="L175" s="371"/>
    </row>
    <row r="176" spans="1:12" ht="13.5" thickBot="1" x14ac:dyDescent="0.25">
      <c r="A176" s="360"/>
      <c r="B176" s="367"/>
      <c r="C176" s="216" t="s">
        <v>76</v>
      </c>
      <c r="D176" s="213"/>
      <c r="E176" s="17"/>
      <c r="F176" s="18"/>
      <c r="G176" s="209" t="s">
        <v>192</v>
      </c>
      <c r="H176" s="57" t="s">
        <v>192</v>
      </c>
      <c r="I176" s="57" t="s">
        <v>192</v>
      </c>
      <c r="K176" s="372"/>
      <c r="L176" s="372"/>
    </row>
    <row r="177" spans="1:12" ht="13.5" thickBot="1" x14ac:dyDescent="0.25"/>
    <row r="178" spans="1:12" ht="13.5" thickBot="1" x14ac:dyDescent="0.25">
      <c r="A178" s="3" t="s">
        <v>79</v>
      </c>
      <c r="B178" s="356" t="s">
        <v>82</v>
      </c>
      <c r="C178" s="357"/>
      <c r="D178" s="2" t="s">
        <v>74</v>
      </c>
      <c r="E178" s="2" t="s">
        <v>75</v>
      </c>
      <c r="F178" s="4" t="s">
        <v>76</v>
      </c>
      <c r="G178" s="2" t="s">
        <v>74</v>
      </c>
      <c r="H178" s="3" t="s">
        <v>75</v>
      </c>
      <c r="I178" s="4" t="s">
        <v>76</v>
      </c>
      <c r="K178" s="228" t="s">
        <v>20</v>
      </c>
      <c r="L178" s="3" t="s">
        <v>198</v>
      </c>
    </row>
    <row r="179" spans="1:12" ht="13.5" thickBot="1" x14ac:dyDescent="0.25">
      <c r="A179" s="358" t="str">
        <f t="shared" ref="A179" si="34">CONCATENATE(K179," - ",L179)</f>
        <v>NECGateway - Junit</v>
      </c>
      <c r="B179" s="361" t="s">
        <v>80</v>
      </c>
      <c r="C179" s="362"/>
      <c r="D179" s="217"/>
      <c r="E179" s="217"/>
      <c r="F179" s="218"/>
      <c r="G179" s="55" t="s">
        <v>192</v>
      </c>
      <c r="H179" s="220" t="s">
        <v>192</v>
      </c>
      <c r="I179" s="55" t="s">
        <v>192</v>
      </c>
      <c r="K179" s="368" t="s">
        <v>213</v>
      </c>
      <c r="L179" s="368" t="s">
        <v>201</v>
      </c>
    </row>
    <row r="180" spans="1:12" ht="13.5" thickBot="1" x14ac:dyDescent="0.25">
      <c r="A180" s="359"/>
      <c r="B180" s="363" t="s">
        <v>78</v>
      </c>
      <c r="C180" s="364"/>
      <c r="D180" s="210" t="s">
        <v>74</v>
      </c>
      <c r="E180" s="2" t="s">
        <v>75</v>
      </c>
      <c r="F180" s="4" t="s">
        <v>76</v>
      </c>
      <c r="G180" s="3" t="s">
        <v>74</v>
      </c>
      <c r="H180" s="3" t="s">
        <v>75</v>
      </c>
      <c r="I180" s="3" t="s">
        <v>76</v>
      </c>
      <c r="K180" s="371"/>
      <c r="L180" s="371"/>
    </row>
    <row r="181" spans="1:12" x14ac:dyDescent="0.2">
      <c r="A181" s="359"/>
      <c r="B181" s="365" t="s">
        <v>81</v>
      </c>
      <c r="C181" s="214" t="s">
        <v>74</v>
      </c>
      <c r="D181" s="211"/>
      <c r="E181" s="13"/>
      <c r="F181" s="14"/>
      <c r="G181" s="56" t="s">
        <v>192</v>
      </c>
      <c r="H181" s="56" t="s">
        <v>192</v>
      </c>
      <c r="I181" s="221" t="s">
        <v>192</v>
      </c>
      <c r="K181" s="371"/>
      <c r="L181" s="371"/>
    </row>
    <row r="182" spans="1:12" x14ac:dyDescent="0.2">
      <c r="A182" s="359"/>
      <c r="B182" s="366"/>
      <c r="C182" s="215" t="s">
        <v>75</v>
      </c>
      <c r="D182" s="212"/>
      <c r="E182" s="15"/>
      <c r="F182" s="16"/>
      <c r="G182" s="56" t="s">
        <v>192</v>
      </c>
      <c r="H182" s="219" t="s">
        <v>192</v>
      </c>
      <c r="I182" s="56" t="s">
        <v>192</v>
      </c>
      <c r="K182" s="371"/>
      <c r="L182" s="371"/>
    </row>
    <row r="183" spans="1:12" ht="13.5" thickBot="1" x14ac:dyDescent="0.25">
      <c r="A183" s="360"/>
      <c r="B183" s="367"/>
      <c r="C183" s="216" t="s">
        <v>76</v>
      </c>
      <c r="D183" s="213"/>
      <c r="E183" s="17"/>
      <c r="F183" s="18"/>
      <c r="G183" s="209" t="s">
        <v>192</v>
      </c>
      <c r="H183" s="57" t="s">
        <v>192</v>
      </c>
      <c r="I183" s="57" t="s">
        <v>192</v>
      </c>
      <c r="K183" s="372"/>
      <c r="L183" s="372"/>
    </row>
    <row r="184" spans="1:12" ht="13.5" thickBot="1" x14ac:dyDescent="0.25"/>
    <row r="185" spans="1:12" ht="13.5" thickBot="1" x14ac:dyDescent="0.25">
      <c r="A185" s="3" t="s">
        <v>79</v>
      </c>
      <c r="B185" s="356" t="s">
        <v>82</v>
      </c>
      <c r="C185" s="357"/>
      <c r="D185" s="2" t="s">
        <v>74</v>
      </c>
      <c r="E185" s="2" t="s">
        <v>75</v>
      </c>
      <c r="F185" s="4" t="s">
        <v>76</v>
      </c>
      <c r="G185" s="2" t="s">
        <v>74</v>
      </c>
      <c r="H185" s="3" t="s">
        <v>75</v>
      </c>
      <c r="I185" s="4" t="s">
        <v>76</v>
      </c>
      <c r="K185" s="228" t="s">
        <v>20</v>
      </c>
      <c r="L185" s="3" t="s">
        <v>198</v>
      </c>
    </row>
    <row r="186" spans="1:12" ht="13.5" thickBot="1" x14ac:dyDescent="0.25">
      <c r="A186" s="358" t="str">
        <f t="shared" ref="A186" si="35">CONCATENATE(K186," - ",L186)</f>
        <v>NECGateway - Banco de Dados (DML,DDL)</v>
      </c>
      <c r="B186" s="361" t="s">
        <v>80</v>
      </c>
      <c r="C186" s="362"/>
      <c r="D186" s="217"/>
      <c r="E186" s="217"/>
      <c r="F186" s="218"/>
      <c r="G186" s="55" t="s">
        <v>192</v>
      </c>
      <c r="H186" s="220" t="s">
        <v>192</v>
      </c>
      <c r="I186" s="55" t="s">
        <v>192</v>
      </c>
      <c r="K186" s="368" t="s">
        <v>213</v>
      </c>
      <c r="L186" s="368" t="s">
        <v>202</v>
      </c>
    </row>
    <row r="187" spans="1:12" ht="13.5" thickBot="1" x14ac:dyDescent="0.25">
      <c r="A187" s="359"/>
      <c r="B187" s="363" t="s">
        <v>78</v>
      </c>
      <c r="C187" s="364"/>
      <c r="D187" s="210" t="s">
        <v>74</v>
      </c>
      <c r="E187" s="2" t="s">
        <v>75</v>
      </c>
      <c r="F187" s="4" t="s">
        <v>76</v>
      </c>
      <c r="G187" s="3" t="s">
        <v>74</v>
      </c>
      <c r="H187" s="3" t="s">
        <v>75</v>
      </c>
      <c r="I187" s="3" t="s">
        <v>76</v>
      </c>
      <c r="K187" s="371"/>
      <c r="L187" s="371"/>
    </row>
    <row r="188" spans="1:12" x14ac:dyDescent="0.2">
      <c r="A188" s="359"/>
      <c r="B188" s="365" t="s">
        <v>81</v>
      </c>
      <c r="C188" s="214" t="s">
        <v>74</v>
      </c>
      <c r="D188" s="211"/>
      <c r="E188" s="13"/>
      <c r="F188" s="14"/>
      <c r="G188" s="56" t="s">
        <v>192</v>
      </c>
      <c r="H188" s="56" t="s">
        <v>192</v>
      </c>
      <c r="I188" s="221" t="s">
        <v>192</v>
      </c>
      <c r="K188" s="371"/>
      <c r="L188" s="371"/>
    </row>
    <row r="189" spans="1:12" x14ac:dyDescent="0.2">
      <c r="A189" s="359"/>
      <c r="B189" s="366"/>
      <c r="C189" s="215" t="s">
        <v>75</v>
      </c>
      <c r="D189" s="212"/>
      <c r="E189" s="15"/>
      <c r="F189" s="16"/>
      <c r="G189" s="56" t="s">
        <v>192</v>
      </c>
      <c r="H189" s="219" t="s">
        <v>192</v>
      </c>
      <c r="I189" s="56" t="s">
        <v>192</v>
      </c>
      <c r="K189" s="371"/>
      <c r="L189" s="371"/>
    </row>
    <row r="190" spans="1:12" ht="13.5" thickBot="1" x14ac:dyDescent="0.25">
      <c r="A190" s="360"/>
      <c r="B190" s="367"/>
      <c r="C190" s="216" t="s">
        <v>76</v>
      </c>
      <c r="D190" s="213"/>
      <c r="E190" s="17"/>
      <c r="F190" s="18"/>
      <c r="G190" s="209" t="s">
        <v>192</v>
      </c>
      <c r="H190" s="57" t="s">
        <v>192</v>
      </c>
      <c r="I190" s="57" t="s">
        <v>192</v>
      </c>
      <c r="K190" s="372"/>
      <c r="L190" s="372"/>
    </row>
    <row r="191" spans="1:12" ht="13.5" thickBot="1" x14ac:dyDescent="0.25"/>
    <row r="192" spans="1:12" ht="13.5" thickBot="1" x14ac:dyDescent="0.25">
      <c r="A192" s="3" t="s">
        <v>79</v>
      </c>
      <c r="B192" s="356" t="s">
        <v>82</v>
      </c>
      <c r="C192" s="357"/>
      <c r="D192" s="2" t="s">
        <v>74</v>
      </c>
      <c r="E192" s="2" t="s">
        <v>75</v>
      </c>
      <c r="F192" s="4" t="s">
        <v>76</v>
      </c>
      <c r="G192" s="2" t="s">
        <v>74</v>
      </c>
      <c r="H192" s="3" t="s">
        <v>75</v>
      </c>
      <c r="I192" s="4" t="s">
        <v>76</v>
      </c>
      <c r="K192" s="228" t="s">
        <v>20</v>
      </c>
      <c r="L192" s="3" t="s">
        <v>198</v>
      </c>
    </row>
    <row r="193" spans="1:12" ht="13.5" thickBot="1" x14ac:dyDescent="0.25">
      <c r="A193" s="358" t="str">
        <f t="shared" ref="A193" si="36">CONCATENATE(K193," - ",L193)</f>
        <v>NECGateway - Banco de Dados (PL/SQL)</v>
      </c>
      <c r="B193" s="361" t="s">
        <v>80</v>
      </c>
      <c r="C193" s="362"/>
      <c r="D193" s="217"/>
      <c r="E193" s="217"/>
      <c r="F193" s="218"/>
      <c r="G193" s="55" t="s">
        <v>192</v>
      </c>
      <c r="H193" s="220" t="s">
        <v>192</v>
      </c>
      <c r="I193" s="55" t="s">
        <v>192</v>
      </c>
      <c r="K193" s="368" t="s">
        <v>213</v>
      </c>
      <c r="L193" s="368" t="s">
        <v>203</v>
      </c>
    </row>
    <row r="194" spans="1:12" ht="13.5" thickBot="1" x14ac:dyDescent="0.25">
      <c r="A194" s="359"/>
      <c r="B194" s="363" t="s">
        <v>78</v>
      </c>
      <c r="C194" s="364"/>
      <c r="D194" s="210" t="s">
        <v>74</v>
      </c>
      <c r="E194" s="2" t="s">
        <v>75</v>
      </c>
      <c r="F194" s="4" t="s">
        <v>76</v>
      </c>
      <c r="G194" s="3" t="s">
        <v>74</v>
      </c>
      <c r="H194" s="3" t="s">
        <v>75</v>
      </c>
      <c r="I194" s="3" t="s">
        <v>76</v>
      </c>
      <c r="K194" s="371"/>
      <c r="L194" s="371"/>
    </row>
    <row r="195" spans="1:12" x14ac:dyDescent="0.2">
      <c r="A195" s="359"/>
      <c r="B195" s="365" t="s">
        <v>81</v>
      </c>
      <c r="C195" s="214" t="s">
        <v>74</v>
      </c>
      <c r="D195" s="211"/>
      <c r="E195" s="13"/>
      <c r="F195" s="14"/>
      <c r="G195" s="56" t="s">
        <v>192</v>
      </c>
      <c r="H195" s="56" t="s">
        <v>192</v>
      </c>
      <c r="I195" s="221" t="s">
        <v>192</v>
      </c>
      <c r="K195" s="371"/>
      <c r="L195" s="371"/>
    </row>
    <row r="196" spans="1:12" x14ac:dyDescent="0.2">
      <c r="A196" s="359"/>
      <c r="B196" s="366"/>
      <c r="C196" s="215" t="s">
        <v>75</v>
      </c>
      <c r="D196" s="212"/>
      <c r="E196" s="15"/>
      <c r="F196" s="16"/>
      <c r="G196" s="56" t="s">
        <v>192</v>
      </c>
      <c r="H196" s="219" t="s">
        <v>192</v>
      </c>
      <c r="I196" s="56" t="s">
        <v>192</v>
      </c>
      <c r="K196" s="371"/>
      <c r="L196" s="371"/>
    </row>
    <row r="197" spans="1:12" ht="13.5" thickBot="1" x14ac:dyDescent="0.25">
      <c r="A197" s="360"/>
      <c r="B197" s="367"/>
      <c r="C197" s="216" t="s">
        <v>76</v>
      </c>
      <c r="D197" s="213"/>
      <c r="E197" s="17"/>
      <c r="F197" s="18"/>
      <c r="G197" s="209" t="s">
        <v>192</v>
      </c>
      <c r="H197" s="57" t="s">
        <v>192</v>
      </c>
      <c r="I197" s="57" t="s">
        <v>192</v>
      </c>
      <c r="K197" s="372"/>
      <c r="L197" s="372"/>
    </row>
    <row r="198" spans="1:12" ht="13.5" thickBot="1" x14ac:dyDescent="0.25"/>
    <row r="199" spans="1:12" ht="13.5" thickBot="1" x14ac:dyDescent="0.25">
      <c r="A199" s="3" t="s">
        <v>79</v>
      </c>
      <c r="B199" s="356" t="s">
        <v>82</v>
      </c>
      <c r="C199" s="357"/>
      <c r="D199" s="2" t="s">
        <v>74</v>
      </c>
      <c r="E199" s="2" t="s">
        <v>75</v>
      </c>
      <c r="F199" s="4" t="s">
        <v>76</v>
      </c>
      <c r="G199" s="2" t="s">
        <v>74</v>
      </c>
      <c r="H199" s="3" t="s">
        <v>75</v>
      </c>
      <c r="I199" s="4" t="s">
        <v>76</v>
      </c>
      <c r="K199" s="228" t="s">
        <v>20</v>
      </c>
      <c r="L199" s="3" t="s">
        <v>198</v>
      </c>
    </row>
    <row r="200" spans="1:12" ht="13.5" thickBot="1" x14ac:dyDescent="0.25">
      <c r="A200" s="358" t="str">
        <f t="shared" ref="A200" si="37">CONCATENATE(K200," - ",L200)</f>
        <v>NECGateway - JAVA: Interface WebService</v>
      </c>
      <c r="B200" s="361" t="s">
        <v>80</v>
      </c>
      <c r="C200" s="362"/>
      <c r="D200" s="217"/>
      <c r="E200" s="217"/>
      <c r="F200" s="218"/>
      <c r="G200" s="55" t="s">
        <v>192</v>
      </c>
      <c r="H200" s="220" t="s">
        <v>192</v>
      </c>
      <c r="I200" s="55" t="s">
        <v>192</v>
      </c>
      <c r="K200" s="368" t="s">
        <v>213</v>
      </c>
      <c r="L200" s="368" t="s">
        <v>204</v>
      </c>
    </row>
    <row r="201" spans="1:12" ht="13.5" thickBot="1" x14ac:dyDescent="0.25">
      <c r="A201" s="359"/>
      <c r="B201" s="363" t="s">
        <v>78</v>
      </c>
      <c r="C201" s="364"/>
      <c r="D201" s="210" t="s">
        <v>74</v>
      </c>
      <c r="E201" s="2" t="s">
        <v>75</v>
      </c>
      <c r="F201" s="4" t="s">
        <v>76</v>
      </c>
      <c r="G201" s="3" t="s">
        <v>74</v>
      </c>
      <c r="H201" s="3" t="s">
        <v>75</v>
      </c>
      <c r="I201" s="3" t="s">
        <v>76</v>
      </c>
      <c r="K201" s="371"/>
      <c r="L201" s="371"/>
    </row>
    <row r="202" spans="1:12" x14ac:dyDescent="0.2">
      <c r="A202" s="359"/>
      <c r="B202" s="365" t="s">
        <v>81</v>
      </c>
      <c r="C202" s="214" t="s">
        <v>74</v>
      </c>
      <c r="D202" s="211"/>
      <c r="E202" s="13"/>
      <c r="F202" s="14"/>
      <c r="G202" s="56" t="s">
        <v>192</v>
      </c>
      <c r="H202" s="56" t="s">
        <v>192</v>
      </c>
      <c r="I202" s="221" t="s">
        <v>192</v>
      </c>
      <c r="K202" s="371"/>
      <c r="L202" s="371"/>
    </row>
    <row r="203" spans="1:12" x14ac:dyDescent="0.2">
      <c r="A203" s="359"/>
      <c r="B203" s="366"/>
      <c r="C203" s="215" t="s">
        <v>75</v>
      </c>
      <c r="D203" s="212"/>
      <c r="E203" s="15"/>
      <c r="F203" s="16"/>
      <c r="G203" s="56" t="s">
        <v>192</v>
      </c>
      <c r="H203" s="219" t="s">
        <v>192</v>
      </c>
      <c r="I203" s="56" t="s">
        <v>192</v>
      </c>
      <c r="K203" s="371"/>
      <c r="L203" s="371"/>
    </row>
    <row r="204" spans="1:12" ht="13.5" thickBot="1" x14ac:dyDescent="0.25">
      <c r="A204" s="360"/>
      <c r="B204" s="367"/>
      <c r="C204" s="216" t="s">
        <v>76</v>
      </c>
      <c r="D204" s="213"/>
      <c r="E204" s="17"/>
      <c r="F204" s="18"/>
      <c r="G204" s="209" t="s">
        <v>192</v>
      </c>
      <c r="H204" s="57" t="s">
        <v>192</v>
      </c>
      <c r="I204" s="57" t="s">
        <v>192</v>
      </c>
      <c r="K204" s="372"/>
      <c r="L204" s="372"/>
    </row>
    <row r="205" spans="1:12" ht="13.5" thickBot="1" x14ac:dyDescent="0.25"/>
    <row r="206" spans="1:12" ht="13.5" thickBot="1" x14ac:dyDescent="0.25">
      <c r="A206" s="3" t="s">
        <v>79</v>
      </c>
      <c r="B206" s="356" t="s">
        <v>82</v>
      </c>
      <c r="C206" s="357"/>
      <c r="D206" s="2" t="s">
        <v>74</v>
      </c>
      <c r="E206" s="2" t="s">
        <v>75</v>
      </c>
      <c r="F206" s="4" t="s">
        <v>76</v>
      </c>
      <c r="G206" s="2" t="s">
        <v>74</v>
      </c>
      <c r="H206" s="3" t="s">
        <v>75</v>
      </c>
      <c r="I206" s="4" t="s">
        <v>76</v>
      </c>
      <c r="K206" s="228" t="s">
        <v>20</v>
      </c>
      <c r="L206" s="3" t="s">
        <v>198</v>
      </c>
    </row>
    <row r="207" spans="1:12" ht="13.5" thickBot="1" x14ac:dyDescent="0.25">
      <c r="A207" s="358" t="str">
        <f t="shared" ref="A207" si="38">CONCATENATE(K207," - ",L207)</f>
        <v>NECGateway - JAVA: Transformação de Objetos</v>
      </c>
      <c r="B207" s="361" t="s">
        <v>80</v>
      </c>
      <c r="C207" s="362"/>
      <c r="D207" s="217"/>
      <c r="E207" s="217"/>
      <c r="F207" s="218"/>
      <c r="G207" s="55" t="s">
        <v>192</v>
      </c>
      <c r="H207" s="220" t="s">
        <v>192</v>
      </c>
      <c r="I207" s="55" t="s">
        <v>192</v>
      </c>
      <c r="K207" s="368" t="s">
        <v>213</v>
      </c>
      <c r="L207" s="368" t="s">
        <v>205</v>
      </c>
    </row>
    <row r="208" spans="1:12" ht="13.5" thickBot="1" x14ac:dyDescent="0.25">
      <c r="A208" s="359"/>
      <c r="B208" s="363" t="s">
        <v>78</v>
      </c>
      <c r="C208" s="364"/>
      <c r="D208" s="210" t="s">
        <v>74</v>
      </c>
      <c r="E208" s="2" t="s">
        <v>75</v>
      </c>
      <c r="F208" s="4" t="s">
        <v>76</v>
      </c>
      <c r="G208" s="3" t="s">
        <v>74</v>
      </c>
      <c r="H208" s="3" t="s">
        <v>75</v>
      </c>
      <c r="I208" s="3" t="s">
        <v>76</v>
      </c>
      <c r="K208" s="371"/>
      <c r="L208" s="371"/>
    </row>
    <row r="209" spans="1:12" x14ac:dyDescent="0.2">
      <c r="A209" s="359"/>
      <c r="B209" s="365" t="s">
        <v>81</v>
      </c>
      <c r="C209" s="214" t="s">
        <v>74</v>
      </c>
      <c r="D209" s="211"/>
      <c r="E209" s="13"/>
      <c r="F209" s="14"/>
      <c r="G209" s="56" t="s">
        <v>192</v>
      </c>
      <c r="H209" s="56" t="s">
        <v>192</v>
      </c>
      <c r="I209" s="221" t="s">
        <v>192</v>
      </c>
      <c r="K209" s="371"/>
      <c r="L209" s="371"/>
    </row>
    <row r="210" spans="1:12" x14ac:dyDescent="0.2">
      <c r="A210" s="359"/>
      <c r="B210" s="366"/>
      <c r="C210" s="215" t="s">
        <v>75</v>
      </c>
      <c r="D210" s="212"/>
      <c r="E210" s="15"/>
      <c r="F210" s="16"/>
      <c r="G210" s="56" t="s">
        <v>192</v>
      </c>
      <c r="H210" s="219" t="s">
        <v>192</v>
      </c>
      <c r="I210" s="56" t="s">
        <v>192</v>
      </c>
      <c r="K210" s="371"/>
      <c r="L210" s="371"/>
    </row>
    <row r="211" spans="1:12" ht="13.5" thickBot="1" x14ac:dyDescent="0.25">
      <c r="A211" s="360"/>
      <c r="B211" s="367"/>
      <c r="C211" s="216" t="s">
        <v>76</v>
      </c>
      <c r="D211" s="213"/>
      <c r="E211" s="17"/>
      <c r="F211" s="18"/>
      <c r="G211" s="209" t="s">
        <v>192</v>
      </c>
      <c r="H211" s="57" t="s">
        <v>192</v>
      </c>
      <c r="I211" s="57" t="s">
        <v>192</v>
      </c>
      <c r="K211" s="372"/>
      <c r="L211" s="372"/>
    </row>
    <row r="212" spans="1:12" ht="13.5" thickBot="1" x14ac:dyDescent="0.25"/>
    <row r="213" spans="1:12" ht="13.5" thickBot="1" x14ac:dyDescent="0.25">
      <c r="A213" s="3" t="s">
        <v>79</v>
      </c>
      <c r="B213" s="356" t="s">
        <v>82</v>
      </c>
      <c r="C213" s="357"/>
      <c r="D213" s="2" t="s">
        <v>74</v>
      </c>
      <c r="E213" s="2" t="s">
        <v>75</v>
      </c>
      <c r="F213" s="4" t="s">
        <v>76</v>
      </c>
      <c r="G213" s="2" t="s">
        <v>74</v>
      </c>
      <c r="H213" s="3" t="s">
        <v>75</v>
      </c>
      <c r="I213" s="4" t="s">
        <v>76</v>
      </c>
      <c r="K213" s="228" t="s">
        <v>20</v>
      </c>
      <c r="L213" s="3" t="s">
        <v>198</v>
      </c>
    </row>
    <row r="214" spans="1:12" ht="13.5" thickBot="1" x14ac:dyDescent="0.25">
      <c r="A214" s="358" t="str">
        <f t="shared" ref="A214" si="39">CONCATENATE(K214," - ",L214)</f>
        <v>NECGateway - JAVA: Métodos de Negócio (Controller)</v>
      </c>
      <c r="B214" s="361" t="s">
        <v>80</v>
      </c>
      <c r="C214" s="362"/>
      <c r="D214" s="217"/>
      <c r="E214" s="217"/>
      <c r="F214" s="218"/>
      <c r="G214" s="55" t="s">
        <v>192</v>
      </c>
      <c r="H214" s="220" t="s">
        <v>192</v>
      </c>
      <c r="I214" s="55" t="s">
        <v>192</v>
      </c>
      <c r="K214" s="368" t="s">
        <v>213</v>
      </c>
      <c r="L214" s="368" t="s">
        <v>206</v>
      </c>
    </row>
    <row r="215" spans="1:12" ht="13.5" thickBot="1" x14ac:dyDescent="0.25">
      <c r="A215" s="359"/>
      <c r="B215" s="363" t="s">
        <v>78</v>
      </c>
      <c r="C215" s="364"/>
      <c r="D215" s="210" t="s">
        <v>74</v>
      </c>
      <c r="E215" s="2" t="s">
        <v>75</v>
      </c>
      <c r="F215" s="4" t="s">
        <v>76</v>
      </c>
      <c r="G215" s="3" t="s">
        <v>74</v>
      </c>
      <c r="H215" s="3" t="s">
        <v>75</v>
      </c>
      <c r="I215" s="3" t="s">
        <v>76</v>
      </c>
      <c r="K215" s="371"/>
      <c r="L215" s="371"/>
    </row>
    <row r="216" spans="1:12" x14ac:dyDescent="0.2">
      <c r="A216" s="359"/>
      <c r="B216" s="365" t="s">
        <v>81</v>
      </c>
      <c r="C216" s="214" t="s">
        <v>74</v>
      </c>
      <c r="D216" s="211"/>
      <c r="E216" s="13"/>
      <c r="F216" s="14"/>
      <c r="G216" s="56" t="s">
        <v>192</v>
      </c>
      <c r="H216" s="56" t="s">
        <v>192</v>
      </c>
      <c r="I216" s="221" t="s">
        <v>192</v>
      </c>
      <c r="K216" s="371"/>
      <c r="L216" s="371"/>
    </row>
    <row r="217" spans="1:12" x14ac:dyDescent="0.2">
      <c r="A217" s="359"/>
      <c r="B217" s="366"/>
      <c r="C217" s="215" t="s">
        <v>75</v>
      </c>
      <c r="D217" s="212"/>
      <c r="E217" s="15"/>
      <c r="F217" s="16"/>
      <c r="G217" s="56" t="s">
        <v>192</v>
      </c>
      <c r="H217" s="219" t="s">
        <v>192</v>
      </c>
      <c r="I217" s="56" t="s">
        <v>192</v>
      </c>
      <c r="K217" s="371"/>
      <c r="L217" s="371"/>
    </row>
    <row r="218" spans="1:12" ht="13.5" thickBot="1" x14ac:dyDescent="0.25">
      <c r="A218" s="360"/>
      <c r="B218" s="367"/>
      <c r="C218" s="216" t="s">
        <v>76</v>
      </c>
      <c r="D218" s="213"/>
      <c r="E218" s="17"/>
      <c r="F218" s="18"/>
      <c r="G218" s="209" t="s">
        <v>192</v>
      </c>
      <c r="H218" s="57" t="s">
        <v>192</v>
      </c>
      <c r="I218" s="57" t="s">
        <v>192</v>
      </c>
      <c r="K218" s="372"/>
      <c r="L218" s="372"/>
    </row>
    <row r="219" spans="1:12" ht="13.5" thickBot="1" x14ac:dyDescent="0.25"/>
    <row r="220" spans="1:12" ht="13.5" thickBot="1" x14ac:dyDescent="0.25">
      <c r="A220" s="3" t="s">
        <v>79</v>
      </c>
      <c r="B220" s="356" t="s">
        <v>82</v>
      </c>
      <c r="C220" s="357"/>
      <c r="D220" s="2" t="s">
        <v>74</v>
      </c>
      <c r="E220" s="2" t="s">
        <v>75</v>
      </c>
      <c r="F220" s="4" t="s">
        <v>76</v>
      </c>
      <c r="G220" s="2" t="s">
        <v>74</v>
      </c>
      <c r="H220" s="3" t="s">
        <v>75</v>
      </c>
      <c r="I220" s="4" t="s">
        <v>76</v>
      </c>
      <c r="K220" s="228" t="s">
        <v>20</v>
      </c>
      <c r="L220" s="3" t="s">
        <v>198</v>
      </c>
    </row>
    <row r="221" spans="1:12" ht="13.5" thickBot="1" x14ac:dyDescent="0.25">
      <c r="A221" s="358" t="str">
        <f t="shared" ref="A221" si="40">CONCATENATE(K221," - ",L221)</f>
        <v>NECGateway - JAVA: Entity</v>
      </c>
      <c r="B221" s="361" t="s">
        <v>80</v>
      </c>
      <c r="C221" s="362"/>
      <c r="D221" s="217"/>
      <c r="E221" s="217"/>
      <c r="F221" s="218"/>
      <c r="G221" s="55" t="s">
        <v>192</v>
      </c>
      <c r="H221" s="220" t="s">
        <v>192</v>
      </c>
      <c r="I221" s="55" t="s">
        <v>192</v>
      </c>
      <c r="K221" s="368" t="s">
        <v>213</v>
      </c>
      <c r="L221" s="368" t="s">
        <v>207</v>
      </c>
    </row>
    <row r="222" spans="1:12" ht="13.5" thickBot="1" x14ac:dyDescent="0.25">
      <c r="A222" s="359"/>
      <c r="B222" s="363" t="s">
        <v>78</v>
      </c>
      <c r="C222" s="364"/>
      <c r="D222" s="210" t="s">
        <v>74</v>
      </c>
      <c r="E222" s="2" t="s">
        <v>75</v>
      </c>
      <c r="F222" s="4" t="s">
        <v>76</v>
      </c>
      <c r="G222" s="3" t="s">
        <v>74</v>
      </c>
      <c r="H222" s="3" t="s">
        <v>75</v>
      </c>
      <c r="I222" s="3" t="s">
        <v>76</v>
      </c>
      <c r="K222" s="371"/>
      <c r="L222" s="371"/>
    </row>
    <row r="223" spans="1:12" x14ac:dyDescent="0.2">
      <c r="A223" s="359"/>
      <c r="B223" s="365" t="s">
        <v>81</v>
      </c>
      <c r="C223" s="214" t="s">
        <v>74</v>
      </c>
      <c r="D223" s="211"/>
      <c r="E223" s="13"/>
      <c r="F223" s="14"/>
      <c r="G223" s="56" t="s">
        <v>192</v>
      </c>
      <c r="H223" s="56" t="s">
        <v>192</v>
      </c>
      <c r="I223" s="221" t="s">
        <v>192</v>
      </c>
      <c r="K223" s="371"/>
      <c r="L223" s="371"/>
    </row>
    <row r="224" spans="1:12" x14ac:dyDescent="0.2">
      <c r="A224" s="359"/>
      <c r="B224" s="366"/>
      <c r="C224" s="215" t="s">
        <v>75</v>
      </c>
      <c r="D224" s="212"/>
      <c r="E224" s="15"/>
      <c r="F224" s="16"/>
      <c r="G224" s="56" t="s">
        <v>192</v>
      </c>
      <c r="H224" s="219" t="s">
        <v>192</v>
      </c>
      <c r="I224" s="56" t="s">
        <v>192</v>
      </c>
      <c r="K224" s="371"/>
      <c r="L224" s="371"/>
    </row>
    <row r="225" spans="1:12" ht="13.5" thickBot="1" x14ac:dyDescent="0.25">
      <c r="A225" s="360"/>
      <c r="B225" s="367"/>
      <c r="C225" s="216" t="s">
        <v>76</v>
      </c>
      <c r="D225" s="213"/>
      <c r="E225" s="17"/>
      <c r="F225" s="18"/>
      <c r="G225" s="209" t="s">
        <v>192</v>
      </c>
      <c r="H225" s="57" t="s">
        <v>192</v>
      </c>
      <c r="I225" s="57" t="s">
        <v>192</v>
      </c>
      <c r="K225" s="372"/>
      <c r="L225" s="372"/>
    </row>
    <row r="226" spans="1:12" ht="13.5" thickBot="1" x14ac:dyDescent="0.25"/>
    <row r="227" spans="1:12" ht="13.5" thickBot="1" x14ac:dyDescent="0.25">
      <c r="A227" s="3" t="s">
        <v>79</v>
      </c>
      <c r="B227" s="356" t="s">
        <v>82</v>
      </c>
      <c r="C227" s="357"/>
      <c r="D227" s="2" t="s">
        <v>74</v>
      </c>
      <c r="E227" s="2" t="s">
        <v>75</v>
      </c>
      <c r="F227" s="4" t="s">
        <v>76</v>
      </c>
      <c r="G227" s="2" t="s">
        <v>74</v>
      </c>
      <c r="H227" s="3" t="s">
        <v>75</v>
      </c>
      <c r="I227" s="4" t="s">
        <v>76</v>
      </c>
      <c r="K227" s="228" t="s">
        <v>20</v>
      </c>
      <c r="L227" s="3" t="s">
        <v>198</v>
      </c>
    </row>
    <row r="228" spans="1:12" ht="13.5" thickBot="1" x14ac:dyDescent="0.25">
      <c r="A228" s="358" t="str">
        <f t="shared" ref="A228" si="41">CONCATENATE(K228," - ",L228)</f>
        <v>NECGateway - JAVA: Consulta Banco de Dados</v>
      </c>
      <c r="B228" s="361" t="s">
        <v>80</v>
      </c>
      <c r="C228" s="362"/>
      <c r="D228" s="217"/>
      <c r="E228" s="217"/>
      <c r="F228" s="218"/>
      <c r="G228" s="55" t="s">
        <v>192</v>
      </c>
      <c r="H228" s="220" t="s">
        <v>192</v>
      </c>
      <c r="I228" s="55" t="s">
        <v>192</v>
      </c>
      <c r="K228" s="368" t="s">
        <v>213</v>
      </c>
      <c r="L228" s="368" t="s">
        <v>208</v>
      </c>
    </row>
    <row r="229" spans="1:12" ht="13.5" thickBot="1" x14ac:dyDescent="0.25">
      <c r="A229" s="359"/>
      <c r="B229" s="363" t="s">
        <v>78</v>
      </c>
      <c r="C229" s="364"/>
      <c r="D229" s="210" t="s">
        <v>74</v>
      </c>
      <c r="E229" s="2" t="s">
        <v>75</v>
      </c>
      <c r="F229" s="4" t="s">
        <v>76</v>
      </c>
      <c r="G229" s="3" t="s">
        <v>74</v>
      </c>
      <c r="H229" s="3" t="s">
        <v>75</v>
      </c>
      <c r="I229" s="3" t="s">
        <v>76</v>
      </c>
      <c r="K229" s="371"/>
      <c r="L229" s="371"/>
    </row>
    <row r="230" spans="1:12" x14ac:dyDescent="0.2">
      <c r="A230" s="359"/>
      <c r="B230" s="365" t="s">
        <v>81</v>
      </c>
      <c r="C230" s="214" t="s">
        <v>74</v>
      </c>
      <c r="D230" s="211"/>
      <c r="E230" s="13"/>
      <c r="F230" s="14"/>
      <c r="G230" s="56" t="s">
        <v>192</v>
      </c>
      <c r="H230" s="56" t="s">
        <v>192</v>
      </c>
      <c r="I230" s="221" t="s">
        <v>192</v>
      </c>
      <c r="K230" s="371"/>
      <c r="L230" s="371"/>
    </row>
    <row r="231" spans="1:12" x14ac:dyDescent="0.2">
      <c r="A231" s="359"/>
      <c r="B231" s="366"/>
      <c r="C231" s="215" t="s">
        <v>75</v>
      </c>
      <c r="D231" s="212"/>
      <c r="E231" s="15"/>
      <c r="F231" s="16"/>
      <c r="G231" s="56" t="s">
        <v>192</v>
      </c>
      <c r="H231" s="219" t="s">
        <v>192</v>
      </c>
      <c r="I231" s="56" t="s">
        <v>192</v>
      </c>
      <c r="K231" s="371"/>
      <c r="L231" s="371"/>
    </row>
    <row r="232" spans="1:12" ht="13.5" thickBot="1" x14ac:dyDescent="0.25">
      <c r="A232" s="360"/>
      <c r="B232" s="367"/>
      <c r="C232" s="216" t="s">
        <v>76</v>
      </c>
      <c r="D232" s="213"/>
      <c r="E232" s="17"/>
      <c r="F232" s="18"/>
      <c r="G232" s="209" t="s">
        <v>192</v>
      </c>
      <c r="H232" s="57" t="s">
        <v>192</v>
      </c>
      <c r="I232" s="57" t="s">
        <v>192</v>
      </c>
      <c r="K232" s="372"/>
      <c r="L232" s="372"/>
    </row>
    <row r="233" spans="1:12" ht="13.5" thickBot="1" x14ac:dyDescent="0.25"/>
    <row r="234" spans="1:12" ht="13.5" thickBot="1" x14ac:dyDescent="0.25">
      <c r="A234" s="3" t="s">
        <v>79</v>
      </c>
      <c r="B234" s="356" t="s">
        <v>82</v>
      </c>
      <c r="C234" s="357"/>
      <c r="D234" s="2" t="s">
        <v>74</v>
      </c>
      <c r="E234" s="2" t="s">
        <v>75</v>
      </c>
      <c r="F234" s="4" t="s">
        <v>76</v>
      </c>
      <c r="G234" s="2" t="s">
        <v>74</v>
      </c>
      <c r="H234" s="3" t="s">
        <v>75</v>
      </c>
      <c r="I234" s="4" t="s">
        <v>76</v>
      </c>
      <c r="K234" s="228" t="s">
        <v>20</v>
      </c>
      <c r="L234" s="3" t="s">
        <v>198</v>
      </c>
    </row>
    <row r="235" spans="1:12" ht="13.5" thickBot="1" x14ac:dyDescent="0.25">
      <c r="A235" s="358" t="str">
        <f t="shared" ref="A235" si="42">CONCATENATE(K235," - ",L235)</f>
        <v>NECGateway - JAVA: Geração de Stubs</v>
      </c>
      <c r="B235" s="361" t="s">
        <v>80</v>
      </c>
      <c r="C235" s="362"/>
      <c r="D235" s="217"/>
      <c r="E235" s="217"/>
      <c r="F235" s="218"/>
      <c r="G235" s="55" t="s">
        <v>192</v>
      </c>
      <c r="H235" s="220" t="s">
        <v>192</v>
      </c>
      <c r="I235" s="55" t="s">
        <v>192</v>
      </c>
      <c r="K235" s="368" t="s">
        <v>213</v>
      </c>
      <c r="L235" s="368" t="s">
        <v>209</v>
      </c>
    </row>
    <row r="236" spans="1:12" ht="13.5" thickBot="1" x14ac:dyDescent="0.25">
      <c r="A236" s="359"/>
      <c r="B236" s="363" t="s">
        <v>78</v>
      </c>
      <c r="C236" s="364"/>
      <c r="D236" s="210" t="s">
        <v>74</v>
      </c>
      <c r="E236" s="2" t="s">
        <v>75</v>
      </c>
      <c r="F236" s="4" t="s">
        <v>76</v>
      </c>
      <c r="G236" s="3" t="s">
        <v>74</v>
      </c>
      <c r="H236" s="3" t="s">
        <v>75</v>
      </c>
      <c r="I236" s="3" t="s">
        <v>76</v>
      </c>
      <c r="K236" s="371"/>
      <c r="L236" s="371"/>
    </row>
    <row r="237" spans="1:12" x14ac:dyDescent="0.2">
      <c r="A237" s="359"/>
      <c r="B237" s="365" t="s">
        <v>81</v>
      </c>
      <c r="C237" s="214" t="s">
        <v>74</v>
      </c>
      <c r="D237" s="211"/>
      <c r="E237" s="13"/>
      <c r="F237" s="14"/>
      <c r="G237" s="56" t="s">
        <v>192</v>
      </c>
      <c r="H237" s="56" t="s">
        <v>192</v>
      </c>
      <c r="I237" s="221" t="s">
        <v>192</v>
      </c>
      <c r="K237" s="371"/>
      <c r="L237" s="371"/>
    </row>
    <row r="238" spans="1:12" x14ac:dyDescent="0.2">
      <c r="A238" s="359"/>
      <c r="B238" s="366"/>
      <c r="C238" s="215" t="s">
        <v>75</v>
      </c>
      <c r="D238" s="212"/>
      <c r="E238" s="15"/>
      <c r="F238" s="16"/>
      <c r="G238" s="56" t="s">
        <v>192</v>
      </c>
      <c r="H238" s="219" t="s">
        <v>192</v>
      </c>
      <c r="I238" s="56" t="s">
        <v>192</v>
      </c>
      <c r="K238" s="371"/>
      <c r="L238" s="371"/>
    </row>
    <row r="239" spans="1:12" ht="13.5" thickBot="1" x14ac:dyDescent="0.25">
      <c r="A239" s="360"/>
      <c r="B239" s="367"/>
      <c r="C239" s="216" t="s">
        <v>76</v>
      </c>
      <c r="D239" s="213"/>
      <c r="E239" s="17"/>
      <c r="F239" s="18"/>
      <c r="G239" s="209" t="s">
        <v>192</v>
      </c>
      <c r="H239" s="57" t="s">
        <v>192</v>
      </c>
      <c r="I239" s="57" t="s">
        <v>192</v>
      </c>
      <c r="K239" s="372"/>
      <c r="L239" s="372"/>
    </row>
    <row r="240" spans="1:12" ht="13.5" thickBot="1" x14ac:dyDescent="0.25"/>
    <row r="241" spans="1:12" ht="13.5" thickBot="1" x14ac:dyDescent="0.25">
      <c r="A241" s="3" t="s">
        <v>79</v>
      </c>
      <c r="B241" s="356" t="s">
        <v>82</v>
      </c>
      <c r="C241" s="357"/>
      <c r="D241" s="2" t="s">
        <v>74</v>
      </c>
      <c r="E241" s="2" t="s">
        <v>75</v>
      </c>
      <c r="F241" s="4" t="s">
        <v>76</v>
      </c>
      <c r="G241" s="2" t="s">
        <v>74</v>
      </c>
      <c r="H241" s="3" t="s">
        <v>75</v>
      </c>
      <c r="I241" s="4" t="s">
        <v>76</v>
      </c>
      <c r="K241" s="228" t="s">
        <v>20</v>
      </c>
      <c r="L241" s="3" t="s">
        <v>198</v>
      </c>
    </row>
    <row r="242" spans="1:12" ht="13.5" thickBot="1" x14ac:dyDescent="0.25">
      <c r="A242" s="358" t="str">
        <f t="shared" ref="A242" si="43">CONCATENATE(K242," - ",L242)</f>
        <v>NECGateway - JSP</v>
      </c>
      <c r="B242" s="361" t="s">
        <v>80</v>
      </c>
      <c r="C242" s="362"/>
      <c r="D242" s="217"/>
      <c r="E242" s="217"/>
      <c r="F242" s="218"/>
      <c r="G242" s="55" t="s">
        <v>192</v>
      </c>
      <c r="H242" s="220" t="s">
        <v>192</v>
      </c>
      <c r="I242" s="55" t="s">
        <v>192</v>
      </c>
      <c r="K242" s="368" t="s">
        <v>213</v>
      </c>
      <c r="L242" s="368" t="s">
        <v>210</v>
      </c>
    </row>
    <row r="243" spans="1:12" ht="13.5" thickBot="1" x14ac:dyDescent="0.25">
      <c r="A243" s="359"/>
      <c r="B243" s="363" t="s">
        <v>78</v>
      </c>
      <c r="C243" s="364"/>
      <c r="D243" s="210" t="s">
        <v>74</v>
      </c>
      <c r="E243" s="2" t="s">
        <v>75</v>
      </c>
      <c r="F243" s="4" t="s">
        <v>76</v>
      </c>
      <c r="G243" s="3" t="s">
        <v>74</v>
      </c>
      <c r="H243" s="3" t="s">
        <v>75</v>
      </c>
      <c r="I243" s="3" t="s">
        <v>76</v>
      </c>
      <c r="K243" s="371"/>
      <c r="L243" s="371"/>
    </row>
    <row r="244" spans="1:12" x14ac:dyDescent="0.2">
      <c r="A244" s="359"/>
      <c r="B244" s="365" t="s">
        <v>81</v>
      </c>
      <c r="C244" s="214" t="s">
        <v>74</v>
      </c>
      <c r="D244" s="211"/>
      <c r="E244" s="13"/>
      <c r="F244" s="14"/>
      <c r="G244" s="56" t="s">
        <v>192</v>
      </c>
      <c r="H244" s="56" t="s">
        <v>192</v>
      </c>
      <c r="I244" s="221" t="s">
        <v>192</v>
      </c>
      <c r="K244" s="371"/>
      <c r="L244" s="371"/>
    </row>
    <row r="245" spans="1:12" x14ac:dyDescent="0.2">
      <c r="A245" s="359"/>
      <c r="B245" s="366"/>
      <c r="C245" s="215" t="s">
        <v>75</v>
      </c>
      <c r="D245" s="212"/>
      <c r="E245" s="15"/>
      <c r="F245" s="16"/>
      <c r="G245" s="56" t="s">
        <v>192</v>
      </c>
      <c r="H245" s="219" t="s">
        <v>192</v>
      </c>
      <c r="I245" s="56" t="s">
        <v>192</v>
      </c>
      <c r="K245" s="371"/>
      <c r="L245" s="371"/>
    </row>
    <row r="246" spans="1:12" ht="13.5" thickBot="1" x14ac:dyDescent="0.25">
      <c r="A246" s="360"/>
      <c r="B246" s="367"/>
      <c r="C246" s="216" t="s">
        <v>76</v>
      </c>
      <c r="D246" s="213"/>
      <c r="E246" s="17"/>
      <c r="F246" s="18"/>
      <c r="G246" s="209" t="s">
        <v>192</v>
      </c>
      <c r="H246" s="57" t="s">
        <v>192</v>
      </c>
      <c r="I246" s="57" t="s">
        <v>192</v>
      </c>
      <c r="K246" s="372"/>
      <c r="L246" s="372"/>
    </row>
    <row r="247" spans="1:12" ht="13.5" thickBot="1" x14ac:dyDescent="0.25"/>
    <row r="248" spans="1:12" ht="13.5" thickBot="1" x14ac:dyDescent="0.25">
      <c r="A248" s="3" t="s">
        <v>79</v>
      </c>
      <c r="B248" s="356" t="s">
        <v>82</v>
      </c>
      <c r="C248" s="357"/>
      <c r="D248" s="2" t="s">
        <v>74</v>
      </c>
      <c r="E248" s="2" t="s">
        <v>75</v>
      </c>
      <c r="F248" s="4" t="s">
        <v>76</v>
      </c>
      <c r="G248" s="2" t="s">
        <v>74</v>
      </c>
      <c r="H248" s="3" t="s">
        <v>75</v>
      </c>
      <c r="I248" s="4" t="s">
        <v>76</v>
      </c>
      <c r="K248" s="228" t="s">
        <v>20</v>
      </c>
      <c r="L248" s="3" t="s">
        <v>198</v>
      </c>
    </row>
    <row r="249" spans="1:12" ht="13.5" thickBot="1" x14ac:dyDescent="0.25">
      <c r="A249" s="358" t="str">
        <f t="shared" ref="A249" si="44">CONCATENATE(K249," - ",L249)</f>
        <v>NECGateway - Configuração de Projeto/Modulo</v>
      </c>
      <c r="B249" s="361" t="s">
        <v>80</v>
      </c>
      <c r="C249" s="362"/>
      <c r="D249" s="217"/>
      <c r="E249" s="217"/>
      <c r="F249" s="218"/>
      <c r="G249" s="55" t="s">
        <v>192</v>
      </c>
      <c r="H249" s="220" t="s">
        <v>192</v>
      </c>
      <c r="I249" s="55" t="s">
        <v>192</v>
      </c>
      <c r="K249" s="368" t="s">
        <v>213</v>
      </c>
      <c r="L249" s="368" t="s">
        <v>211</v>
      </c>
    </row>
    <row r="250" spans="1:12" ht="13.5" thickBot="1" x14ac:dyDescent="0.25">
      <c r="A250" s="359"/>
      <c r="B250" s="363" t="s">
        <v>78</v>
      </c>
      <c r="C250" s="364"/>
      <c r="D250" s="210" t="s">
        <v>74</v>
      </c>
      <c r="E250" s="2" t="s">
        <v>75</v>
      </c>
      <c r="F250" s="4" t="s">
        <v>76</v>
      </c>
      <c r="G250" s="3" t="s">
        <v>74</v>
      </c>
      <c r="H250" s="3" t="s">
        <v>75</v>
      </c>
      <c r="I250" s="3" t="s">
        <v>76</v>
      </c>
      <c r="K250" s="371"/>
      <c r="L250" s="371"/>
    </row>
    <row r="251" spans="1:12" x14ac:dyDescent="0.2">
      <c r="A251" s="359"/>
      <c r="B251" s="365" t="s">
        <v>81</v>
      </c>
      <c r="C251" s="214" t="s">
        <v>74</v>
      </c>
      <c r="D251" s="211"/>
      <c r="E251" s="13"/>
      <c r="F251" s="14"/>
      <c r="G251" s="56" t="s">
        <v>192</v>
      </c>
      <c r="H251" s="56" t="s">
        <v>192</v>
      </c>
      <c r="I251" s="221" t="s">
        <v>192</v>
      </c>
      <c r="K251" s="371"/>
      <c r="L251" s="371"/>
    </row>
    <row r="252" spans="1:12" x14ac:dyDescent="0.2">
      <c r="A252" s="359"/>
      <c r="B252" s="366"/>
      <c r="C252" s="215" t="s">
        <v>75</v>
      </c>
      <c r="D252" s="212"/>
      <c r="E252" s="15"/>
      <c r="F252" s="16"/>
      <c r="G252" s="56" t="s">
        <v>192</v>
      </c>
      <c r="H252" s="219" t="s">
        <v>192</v>
      </c>
      <c r="I252" s="56" t="s">
        <v>192</v>
      </c>
      <c r="K252" s="371"/>
      <c r="L252" s="371"/>
    </row>
    <row r="253" spans="1:12" ht="13.5" thickBot="1" x14ac:dyDescent="0.25">
      <c r="A253" s="360"/>
      <c r="B253" s="367"/>
      <c r="C253" s="216" t="s">
        <v>76</v>
      </c>
      <c r="D253" s="213"/>
      <c r="E253" s="17"/>
      <c r="F253" s="18"/>
      <c r="G253" s="209" t="s">
        <v>192</v>
      </c>
      <c r="H253" s="57" t="s">
        <v>192</v>
      </c>
      <c r="I253" s="57" t="s">
        <v>192</v>
      </c>
      <c r="K253" s="372"/>
      <c r="L253" s="372"/>
    </row>
    <row r="254" spans="1:12" ht="13.5" thickBot="1" x14ac:dyDescent="0.25"/>
    <row r="255" spans="1:12" ht="13.5" thickBot="1" x14ac:dyDescent="0.25">
      <c r="A255" s="3" t="s">
        <v>79</v>
      </c>
      <c r="B255" s="356" t="s">
        <v>82</v>
      </c>
      <c r="C255" s="357"/>
      <c r="D255" s="2" t="s">
        <v>74</v>
      </c>
      <c r="E255" s="2" t="s">
        <v>75</v>
      </c>
      <c r="F255" s="4" t="s">
        <v>76</v>
      </c>
      <c r="G255" s="2" t="s">
        <v>74</v>
      </c>
      <c r="H255" s="3" t="s">
        <v>75</v>
      </c>
      <c r="I255" s="4" t="s">
        <v>76</v>
      </c>
      <c r="K255" s="228" t="s">
        <v>20</v>
      </c>
      <c r="L255" s="3" t="s">
        <v>198</v>
      </c>
    </row>
    <row r="256" spans="1:12" ht="13.5" thickBot="1" x14ac:dyDescent="0.25">
      <c r="A256" s="358" t="str">
        <f t="shared" ref="A256" si="45">CONCATENATE(K256," - ",L256)</f>
        <v>ConfiguradorOnline - Regra Drools</v>
      </c>
      <c r="B256" s="361" t="s">
        <v>80</v>
      </c>
      <c r="C256" s="362"/>
      <c r="D256" s="217"/>
      <c r="E256" s="217"/>
      <c r="F256" s="218"/>
      <c r="G256" s="55" t="s">
        <v>192</v>
      </c>
      <c r="H256" s="220" t="s">
        <v>192</v>
      </c>
      <c r="I256" s="55" t="s">
        <v>192</v>
      </c>
      <c r="K256" s="368" t="s">
        <v>193</v>
      </c>
      <c r="L256" s="373" t="s">
        <v>200</v>
      </c>
    </row>
    <row r="257" spans="1:12" ht="13.5" thickBot="1" x14ac:dyDescent="0.25">
      <c r="A257" s="359"/>
      <c r="B257" s="363" t="s">
        <v>78</v>
      </c>
      <c r="C257" s="364"/>
      <c r="D257" s="210" t="s">
        <v>74</v>
      </c>
      <c r="E257" s="2" t="s">
        <v>75</v>
      </c>
      <c r="F257" s="4" t="s">
        <v>76</v>
      </c>
      <c r="G257" s="3" t="s">
        <v>74</v>
      </c>
      <c r="H257" s="3" t="s">
        <v>75</v>
      </c>
      <c r="I257" s="3" t="s">
        <v>76</v>
      </c>
      <c r="K257" s="371"/>
      <c r="L257" s="371"/>
    </row>
    <row r="258" spans="1:12" x14ac:dyDescent="0.2">
      <c r="A258" s="359"/>
      <c r="B258" s="365" t="s">
        <v>81</v>
      </c>
      <c r="C258" s="214" t="s">
        <v>74</v>
      </c>
      <c r="D258" s="211"/>
      <c r="E258" s="13"/>
      <c r="F258" s="14"/>
      <c r="G258" s="56" t="s">
        <v>192</v>
      </c>
      <c r="H258" s="56" t="s">
        <v>192</v>
      </c>
      <c r="I258" s="221" t="s">
        <v>192</v>
      </c>
      <c r="K258" s="371"/>
      <c r="L258" s="371"/>
    </row>
    <row r="259" spans="1:12" x14ac:dyDescent="0.2">
      <c r="A259" s="359"/>
      <c r="B259" s="366"/>
      <c r="C259" s="215" t="s">
        <v>75</v>
      </c>
      <c r="D259" s="212"/>
      <c r="E259" s="15"/>
      <c r="F259" s="16"/>
      <c r="G259" s="56" t="s">
        <v>192</v>
      </c>
      <c r="H259" s="219" t="s">
        <v>192</v>
      </c>
      <c r="I259" s="56" t="s">
        <v>192</v>
      </c>
      <c r="K259" s="371"/>
      <c r="L259" s="371"/>
    </row>
    <row r="260" spans="1:12" ht="13.5" thickBot="1" x14ac:dyDescent="0.25">
      <c r="A260" s="360"/>
      <c r="B260" s="367"/>
      <c r="C260" s="216" t="s">
        <v>76</v>
      </c>
      <c r="D260" s="213"/>
      <c r="E260" s="17"/>
      <c r="F260" s="18"/>
      <c r="G260" s="209" t="s">
        <v>192</v>
      </c>
      <c r="H260" s="57" t="s">
        <v>192</v>
      </c>
      <c r="I260" s="57" t="s">
        <v>192</v>
      </c>
      <c r="K260" s="372"/>
      <c r="L260" s="372"/>
    </row>
    <row r="261" spans="1:12" ht="13.5" thickBot="1" x14ac:dyDescent="0.25"/>
    <row r="262" spans="1:12" ht="13.5" thickBot="1" x14ac:dyDescent="0.25">
      <c r="A262" s="3" t="s">
        <v>79</v>
      </c>
      <c r="B262" s="356" t="s">
        <v>82</v>
      </c>
      <c r="C262" s="357"/>
      <c r="D262" s="2" t="s">
        <v>74</v>
      </c>
      <c r="E262" s="2" t="s">
        <v>75</v>
      </c>
      <c r="F262" s="4" t="s">
        <v>76</v>
      </c>
      <c r="G262" s="2" t="s">
        <v>74</v>
      </c>
      <c r="H262" s="3" t="s">
        <v>75</v>
      </c>
      <c r="I262" s="4" t="s">
        <v>76</v>
      </c>
      <c r="K262" s="228" t="s">
        <v>20</v>
      </c>
      <c r="L262" s="3" t="s">
        <v>198</v>
      </c>
    </row>
    <row r="263" spans="1:12" ht="13.5" thickBot="1" x14ac:dyDescent="0.25">
      <c r="A263" s="358" t="str">
        <f t="shared" ref="A263" si="46">CONCATENATE(K263," - ",L263)</f>
        <v>ConfiguradorOnline - Junit</v>
      </c>
      <c r="B263" s="361" t="s">
        <v>80</v>
      </c>
      <c r="C263" s="362"/>
      <c r="D263" s="217"/>
      <c r="E263" s="217"/>
      <c r="F263" s="218"/>
      <c r="G263" s="55" t="s">
        <v>192</v>
      </c>
      <c r="H263" s="220" t="s">
        <v>192</v>
      </c>
      <c r="I263" s="55" t="s">
        <v>192</v>
      </c>
      <c r="K263" s="368" t="s">
        <v>193</v>
      </c>
      <c r="L263" s="368" t="s">
        <v>201</v>
      </c>
    </row>
    <row r="264" spans="1:12" ht="13.5" thickBot="1" x14ac:dyDescent="0.25">
      <c r="A264" s="359"/>
      <c r="B264" s="363" t="s">
        <v>78</v>
      </c>
      <c r="C264" s="364"/>
      <c r="D264" s="210" t="s">
        <v>74</v>
      </c>
      <c r="E264" s="2" t="s">
        <v>75</v>
      </c>
      <c r="F264" s="4" t="s">
        <v>76</v>
      </c>
      <c r="G264" s="3" t="s">
        <v>74</v>
      </c>
      <c r="H264" s="3" t="s">
        <v>75</v>
      </c>
      <c r="I264" s="3" t="s">
        <v>76</v>
      </c>
      <c r="K264" s="371"/>
      <c r="L264" s="371"/>
    </row>
    <row r="265" spans="1:12" x14ac:dyDescent="0.2">
      <c r="A265" s="359"/>
      <c r="B265" s="365" t="s">
        <v>81</v>
      </c>
      <c r="C265" s="214" t="s">
        <v>74</v>
      </c>
      <c r="D265" s="211"/>
      <c r="E265" s="13"/>
      <c r="F265" s="14"/>
      <c r="G265" s="56" t="s">
        <v>192</v>
      </c>
      <c r="H265" s="56" t="s">
        <v>192</v>
      </c>
      <c r="I265" s="221" t="s">
        <v>192</v>
      </c>
      <c r="K265" s="371"/>
      <c r="L265" s="371"/>
    </row>
    <row r="266" spans="1:12" x14ac:dyDescent="0.2">
      <c r="A266" s="359"/>
      <c r="B266" s="366"/>
      <c r="C266" s="215" t="s">
        <v>75</v>
      </c>
      <c r="D266" s="212"/>
      <c r="E266" s="15"/>
      <c r="F266" s="16"/>
      <c r="G266" s="56" t="s">
        <v>192</v>
      </c>
      <c r="H266" s="219" t="s">
        <v>192</v>
      </c>
      <c r="I266" s="56" t="s">
        <v>192</v>
      </c>
      <c r="K266" s="371"/>
      <c r="L266" s="371"/>
    </row>
    <row r="267" spans="1:12" ht="13.5" thickBot="1" x14ac:dyDescent="0.25">
      <c r="A267" s="360"/>
      <c r="B267" s="367"/>
      <c r="C267" s="216" t="s">
        <v>76</v>
      </c>
      <c r="D267" s="213"/>
      <c r="E267" s="17"/>
      <c r="F267" s="18"/>
      <c r="G267" s="209" t="s">
        <v>192</v>
      </c>
      <c r="H267" s="57" t="s">
        <v>192</v>
      </c>
      <c r="I267" s="57" t="s">
        <v>192</v>
      </c>
      <c r="K267" s="372"/>
      <c r="L267" s="372"/>
    </row>
    <row r="268" spans="1:12" ht="13.5" thickBot="1" x14ac:dyDescent="0.25"/>
    <row r="269" spans="1:12" ht="26.1" customHeight="1" thickBot="1" x14ac:dyDescent="0.25">
      <c r="A269" s="3" t="s">
        <v>79</v>
      </c>
      <c r="B269" s="356" t="s">
        <v>82</v>
      </c>
      <c r="C269" s="357"/>
      <c r="D269" s="2" t="s">
        <v>74</v>
      </c>
      <c r="E269" s="2" t="s">
        <v>75</v>
      </c>
      <c r="F269" s="4" t="s">
        <v>76</v>
      </c>
      <c r="G269" s="2" t="s">
        <v>74</v>
      </c>
      <c r="H269" s="3" t="s">
        <v>75</v>
      </c>
      <c r="I269" s="4" t="s">
        <v>76</v>
      </c>
      <c r="K269" s="228" t="s">
        <v>20</v>
      </c>
      <c r="L269" s="3" t="s">
        <v>198</v>
      </c>
    </row>
    <row r="270" spans="1:12" ht="13.5" thickBot="1" x14ac:dyDescent="0.25">
      <c r="A270" s="358" t="str">
        <f t="shared" ref="A270" si="47">CONCATENATE(K270," - ",L270)</f>
        <v>ConfiguradorOnline - Banco de Dados (DML,DDL)</v>
      </c>
      <c r="B270" s="361" t="s">
        <v>80</v>
      </c>
      <c r="C270" s="362"/>
      <c r="D270" s="217"/>
      <c r="E270" s="217"/>
      <c r="F270" s="218"/>
      <c r="G270" s="55" t="s">
        <v>192</v>
      </c>
      <c r="H270" s="220" t="s">
        <v>192</v>
      </c>
      <c r="I270" s="55" t="s">
        <v>192</v>
      </c>
      <c r="K270" s="368" t="s">
        <v>193</v>
      </c>
      <c r="L270" s="368" t="s">
        <v>202</v>
      </c>
    </row>
    <row r="271" spans="1:12" ht="13.5" thickBot="1" x14ac:dyDescent="0.25">
      <c r="A271" s="359"/>
      <c r="B271" s="363" t="s">
        <v>78</v>
      </c>
      <c r="C271" s="364"/>
      <c r="D271" s="210" t="s">
        <v>74</v>
      </c>
      <c r="E271" s="2" t="s">
        <v>75</v>
      </c>
      <c r="F271" s="4" t="s">
        <v>76</v>
      </c>
      <c r="G271" s="3" t="s">
        <v>74</v>
      </c>
      <c r="H271" s="3" t="s">
        <v>75</v>
      </c>
      <c r="I271" s="3" t="s">
        <v>76</v>
      </c>
      <c r="K271" s="371"/>
      <c r="L271" s="371"/>
    </row>
    <row r="272" spans="1:12" x14ac:dyDescent="0.2">
      <c r="A272" s="359"/>
      <c r="B272" s="365" t="s">
        <v>81</v>
      </c>
      <c r="C272" s="214" t="s">
        <v>74</v>
      </c>
      <c r="D272" s="211"/>
      <c r="E272" s="13"/>
      <c r="F272" s="14"/>
      <c r="G272" s="56" t="s">
        <v>192</v>
      </c>
      <c r="H272" s="56" t="s">
        <v>192</v>
      </c>
      <c r="I272" s="221" t="s">
        <v>192</v>
      </c>
      <c r="K272" s="371"/>
      <c r="L272" s="371"/>
    </row>
    <row r="273" spans="1:12" x14ac:dyDescent="0.2">
      <c r="A273" s="359"/>
      <c r="B273" s="366"/>
      <c r="C273" s="215" t="s">
        <v>75</v>
      </c>
      <c r="D273" s="212"/>
      <c r="E273" s="15"/>
      <c r="F273" s="16"/>
      <c r="G273" s="56" t="s">
        <v>192</v>
      </c>
      <c r="H273" s="219" t="s">
        <v>192</v>
      </c>
      <c r="I273" s="56" t="s">
        <v>192</v>
      </c>
      <c r="K273" s="371"/>
      <c r="L273" s="371"/>
    </row>
    <row r="274" spans="1:12" ht="13.5" thickBot="1" x14ac:dyDescent="0.25">
      <c r="A274" s="360"/>
      <c r="B274" s="367"/>
      <c r="C274" s="216" t="s">
        <v>76</v>
      </c>
      <c r="D274" s="213"/>
      <c r="E274" s="17"/>
      <c r="F274" s="18"/>
      <c r="G274" s="209" t="s">
        <v>192</v>
      </c>
      <c r="H274" s="57" t="s">
        <v>192</v>
      </c>
      <c r="I274" s="57" t="s">
        <v>192</v>
      </c>
      <c r="K274" s="372"/>
      <c r="L274" s="372"/>
    </row>
    <row r="275" spans="1:12" ht="5.0999999999999996" customHeight="1" thickBot="1" x14ac:dyDescent="0.25"/>
    <row r="276" spans="1:12" ht="13.5" thickBot="1" x14ac:dyDescent="0.25">
      <c r="A276" s="3" t="s">
        <v>79</v>
      </c>
      <c r="B276" s="356" t="s">
        <v>82</v>
      </c>
      <c r="C276" s="357"/>
      <c r="D276" s="2" t="s">
        <v>74</v>
      </c>
      <c r="E276" s="2" t="s">
        <v>75</v>
      </c>
      <c r="F276" s="4" t="s">
        <v>76</v>
      </c>
      <c r="G276" s="2" t="s">
        <v>74</v>
      </c>
      <c r="H276" s="3" t="s">
        <v>75</v>
      </c>
      <c r="I276" s="4" t="s">
        <v>76</v>
      </c>
      <c r="K276" s="228" t="s">
        <v>20</v>
      </c>
      <c r="L276" s="3" t="s">
        <v>198</v>
      </c>
    </row>
    <row r="277" spans="1:12" ht="13.5" thickBot="1" x14ac:dyDescent="0.25">
      <c r="A277" s="358" t="str">
        <f t="shared" ref="A277" si="48">CONCATENATE(K277," - ",L277)</f>
        <v>ConfiguradorOnline - Banco de Dados (PL/SQL)</v>
      </c>
      <c r="B277" s="361" t="s">
        <v>80</v>
      </c>
      <c r="C277" s="362"/>
      <c r="D277" s="217"/>
      <c r="E277" s="217"/>
      <c r="F277" s="218"/>
      <c r="G277" s="55" t="s">
        <v>192</v>
      </c>
      <c r="H277" s="220" t="s">
        <v>192</v>
      </c>
      <c r="I277" s="55" t="s">
        <v>192</v>
      </c>
      <c r="K277" s="368" t="s">
        <v>193</v>
      </c>
      <c r="L277" s="368" t="s">
        <v>203</v>
      </c>
    </row>
    <row r="278" spans="1:12" ht="13.5" thickBot="1" x14ac:dyDescent="0.25">
      <c r="A278" s="359"/>
      <c r="B278" s="363" t="s">
        <v>78</v>
      </c>
      <c r="C278" s="364"/>
      <c r="D278" s="210" t="s">
        <v>74</v>
      </c>
      <c r="E278" s="2" t="s">
        <v>75</v>
      </c>
      <c r="F278" s="4" t="s">
        <v>76</v>
      </c>
      <c r="G278" s="3" t="s">
        <v>74</v>
      </c>
      <c r="H278" s="3" t="s">
        <v>75</v>
      </c>
      <c r="I278" s="3" t="s">
        <v>76</v>
      </c>
      <c r="K278" s="371"/>
      <c r="L278" s="371"/>
    </row>
    <row r="279" spans="1:12" x14ac:dyDescent="0.2">
      <c r="A279" s="359"/>
      <c r="B279" s="365" t="s">
        <v>81</v>
      </c>
      <c r="C279" s="214" t="s">
        <v>74</v>
      </c>
      <c r="D279" s="211"/>
      <c r="E279" s="13"/>
      <c r="F279" s="14"/>
      <c r="G279" s="56" t="s">
        <v>192</v>
      </c>
      <c r="H279" s="56" t="s">
        <v>192</v>
      </c>
      <c r="I279" s="221" t="s">
        <v>192</v>
      </c>
      <c r="K279" s="371"/>
      <c r="L279" s="371"/>
    </row>
    <row r="280" spans="1:12" x14ac:dyDescent="0.2">
      <c r="A280" s="359"/>
      <c r="B280" s="366"/>
      <c r="C280" s="215" t="s">
        <v>75</v>
      </c>
      <c r="D280" s="212"/>
      <c r="E280" s="15"/>
      <c r="F280" s="16"/>
      <c r="G280" s="56" t="s">
        <v>192</v>
      </c>
      <c r="H280" s="219" t="s">
        <v>192</v>
      </c>
      <c r="I280" s="56" t="s">
        <v>192</v>
      </c>
      <c r="K280" s="371"/>
      <c r="L280" s="371"/>
    </row>
    <row r="281" spans="1:12" ht="13.5" thickBot="1" x14ac:dyDescent="0.25">
      <c r="A281" s="360"/>
      <c r="B281" s="367"/>
      <c r="C281" s="216" t="s">
        <v>76</v>
      </c>
      <c r="D281" s="213"/>
      <c r="E281" s="17"/>
      <c r="F281" s="18"/>
      <c r="G281" s="209" t="s">
        <v>192</v>
      </c>
      <c r="H281" s="57" t="s">
        <v>192</v>
      </c>
      <c r="I281" s="57" t="s">
        <v>192</v>
      </c>
      <c r="K281" s="372"/>
      <c r="L281" s="372"/>
    </row>
    <row r="282" spans="1:12" ht="4.5" customHeight="1" thickBot="1" x14ac:dyDescent="0.25"/>
    <row r="283" spans="1:12" ht="13.5" thickBot="1" x14ac:dyDescent="0.25">
      <c r="A283" s="3" t="s">
        <v>79</v>
      </c>
      <c r="B283" s="356" t="s">
        <v>82</v>
      </c>
      <c r="C283" s="357"/>
      <c r="D283" s="2" t="s">
        <v>74</v>
      </c>
      <c r="E283" s="2" t="s">
        <v>75</v>
      </c>
      <c r="F283" s="4" t="s">
        <v>76</v>
      </c>
      <c r="G283" s="2" t="s">
        <v>74</v>
      </c>
      <c r="H283" s="3" t="s">
        <v>75</v>
      </c>
      <c r="I283" s="4" t="s">
        <v>76</v>
      </c>
      <c r="K283" s="228" t="s">
        <v>20</v>
      </c>
      <c r="L283" s="3" t="s">
        <v>198</v>
      </c>
    </row>
    <row r="284" spans="1:12" ht="13.5" thickBot="1" x14ac:dyDescent="0.25">
      <c r="A284" s="358" t="str">
        <f t="shared" ref="A284" si="49">CONCATENATE(K284," - ",L284)</f>
        <v>ConfiguradorOnline - JAVA: Interface WebService</v>
      </c>
      <c r="B284" s="361" t="s">
        <v>80</v>
      </c>
      <c r="C284" s="362"/>
      <c r="D284" s="217"/>
      <c r="E284" s="217"/>
      <c r="F284" s="218"/>
      <c r="G284" s="55" t="s">
        <v>192</v>
      </c>
      <c r="H284" s="220" t="s">
        <v>192</v>
      </c>
      <c r="I284" s="55" t="s">
        <v>192</v>
      </c>
      <c r="K284" s="368" t="s">
        <v>193</v>
      </c>
      <c r="L284" s="368" t="s">
        <v>204</v>
      </c>
    </row>
    <row r="285" spans="1:12" ht="13.5" thickBot="1" x14ac:dyDescent="0.25">
      <c r="A285" s="359"/>
      <c r="B285" s="363" t="s">
        <v>78</v>
      </c>
      <c r="C285" s="364"/>
      <c r="D285" s="210" t="s">
        <v>74</v>
      </c>
      <c r="E285" s="2" t="s">
        <v>75</v>
      </c>
      <c r="F285" s="4" t="s">
        <v>76</v>
      </c>
      <c r="G285" s="3" t="s">
        <v>74</v>
      </c>
      <c r="H285" s="3" t="s">
        <v>75</v>
      </c>
      <c r="I285" s="3" t="s">
        <v>76</v>
      </c>
      <c r="K285" s="371"/>
      <c r="L285" s="371"/>
    </row>
    <row r="286" spans="1:12" x14ac:dyDescent="0.2">
      <c r="A286" s="359"/>
      <c r="B286" s="365" t="s">
        <v>81</v>
      </c>
      <c r="C286" s="214" t="s">
        <v>74</v>
      </c>
      <c r="D286" s="211"/>
      <c r="E286" s="13"/>
      <c r="F286" s="14"/>
      <c r="G286" s="56" t="s">
        <v>192</v>
      </c>
      <c r="H286" s="56" t="s">
        <v>192</v>
      </c>
      <c r="I286" s="221" t="s">
        <v>192</v>
      </c>
      <c r="K286" s="371"/>
      <c r="L286" s="371"/>
    </row>
    <row r="287" spans="1:12" x14ac:dyDescent="0.2">
      <c r="A287" s="359"/>
      <c r="B287" s="366"/>
      <c r="C287" s="215" t="s">
        <v>75</v>
      </c>
      <c r="D287" s="212"/>
      <c r="E287" s="15"/>
      <c r="F287" s="16"/>
      <c r="G287" s="56" t="s">
        <v>192</v>
      </c>
      <c r="H287" s="219" t="s">
        <v>192</v>
      </c>
      <c r="I287" s="56" t="s">
        <v>192</v>
      </c>
      <c r="K287" s="371"/>
      <c r="L287" s="371"/>
    </row>
    <row r="288" spans="1:12" ht="13.5" thickBot="1" x14ac:dyDescent="0.25">
      <c r="A288" s="360"/>
      <c r="B288" s="367"/>
      <c r="C288" s="216" t="s">
        <v>76</v>
      </c>
      <c r="D288" s="213"/>
      <c r="E288" s="17"/>
      <c r="F288" s="18"/>
      <c r="G288" s="209" t="s">
        <v>192</v>
      </c>
      <c r="H288" s="57" t="s">
        <v>192</v>
      </c>
      <c r="I288" s="57" t="s">
        <v>192</v>
      </c>
      <c r="K288" s="372"/>
      <c r="L288" s="372"/>
    </row>
    <row r="289" spans="1:12" ht="4.5" customHeight="1" thickBot="1" x14ac:dyDescent="0.25"/>
    <row r="290" spans="1:12" ht="13.5" thickBot="1" x14ac:dyDescent="0.25">
      <c r="A290" s="3" t="s">
        <v>79</v>
      </c>
      <c r="B290" s="356" t="s">
        <v>82</v>
      </c>
      <c r="C290" s="357"/>
      <c r="D290" s="2" t="s">
        <v>74</v>
      </c>
      <c r="E290" s="2" t="s">
        <v>75</v>
      </c>
      <c r="F290" s="4" t="s">
        <v>76</v>
      </c>
      <c r="G290" s="2" t="s">
        <v>74</v>
      </c>
      <c r="H290" s="3" t="s">
        <v>75</v>
      </c>
      <c r="I290" s="4" t="s">
        <v>76</v>
      </c>
      <c r="K290" s="228" t="s">
        <v>20</v>
      </c>
      <c r="L290" s="3" t="s">
        <v>198</v>
      </c>
    </row>
    <row r="291" spans="1:12" ht="13.5" thickBot="1" x14ac:dyDescent="0.25">
      <c r="A291" s="358" t="str">
        <f t="shared" ref="A291" si="50">CONCATENATE(K291," - ",L291)</f>
        <v>ConfiguradorOnline - JAVA: Transformação de Objetos</v>
      </c>
      <c r="B291" s="361" t="s">
        <v>80</v>
      </c>
      <c r="C291" s="362"/>
      <c r="D291" s="217"/>
      <c r="E291" s="217"/>
      <c r="F291" s="218"/>
      <c r="G291" s="55" t="s">
        <v>192</v>
      </c>
      <c r="H291" s="220" t="s">
        <v>192</v>
      </c>
      <c r="I291" s="55" t="s">
        <v>192</v>
      </c>
      <c r="K291" s="368" t="s">
        <v>193</v>
      </c>
      <c r="L291" s="368" t="s">
        <v>205</v>
      </c>
    </row>
    <row r="292" spans="1:12" ht="13.5" thickBot="1" x14ac:dyDescent="0.25">
      <c r="A292" s="359"/>
      <c r="B292" s="363" t="s">
        <v>78</v>
      </c>
      <c r="C292" s="364"/>
      <c r="D292" s="210" t="s">
        <v>74</v>
      </c>
      <c r="E292" s="2" t="s">
        <v>75</v>
      </c>
      <c r="F292" s="4" t="s">
        <v>76</v>
      </c>
      <c r="G292" s="3" t="s">
        <v>74</v>
      </c>
      <c r="H292" s="3" t="s">
        <v>75</v>
      </c>
      <c r="I292" s="3" t="s">
        <v>76</v>
      </c>
      <c r="K292" s="371"/>
      <c r="L292" s="371"/>
    </row>
    <row r="293" spans="1:12" x14ac:dyDescent="0.2">
      <c r="A293" s="359"/>
      <c r="B293" s="365" t="s">
        <v>81</v>
      </c>
      <c r="C293" s="214" t="s">
        <v>74</v>
      </c>
      <c r="D293" s="211"/>
      <c r="E293" s="13"/>
      <c r="F293" s="14"/>
      <c r="G293" s="56" t="s">
        <v>192</v>
      </c>
      <c r="H293" s="56" t="s">
        <v>192</v>
      </c>
      <c r="I293" s="221" t="s">
        <v>192</v>
      </c>
      <c r="K293" s="371"/>
      <c r="L293" s="371"/>
    </row>
    <row r="294" spans="1:12" x14ac:dyDescent="0.2">
      <c r="A294" s="359"/>
      <c r="B294" s="366"/>
      <c r="C294" s="215" t="s">
        <v>75</v>
      </c>
      <c r="D294" s="212"/>
      <c r="E294" s="15"/>
      <c r="F294" s="16"/>
      <c r="G294" s="56" t="s">
        <v>192</v>
      </c>
      <c r="H294" s="219" t="s">
        <v>192</v>
      </c>
      <c r="I294" s="56" t="s">
        <v>192</v>
      </c>
      <c r="K294" s="371"/>
      <c r="L294" s="371"/>
    </row>
    <row r="295" spans="1:12" ht="13.5" thickBot="1" x14ac:dyDescent="0.25">
      <c r="A295" s="360"/>
      <c r="B295" s="367"/>
      <c r="C295" s="216" t="s">
        <v>76</v>
      </c>
      <c r="D295" s="213"/>
      <c r="E295" s="17"/>
      <c r="F295" s="18"/>
      <c r="G295" s="209" t="s">
        <v>192</v>
      </c>
      <c r="H295" s="57" t="s">
        <v>192</v>
      </c>
      <c r="I295" s="57" t="s">
        <v>192</v>
      </c>
      <c r="K295" s="372"/>
      <c r="L295" s="372"/>
    </row>
    <row r="296" spans="1:12" ht="4.5" customHeight="1" thickBot="1" x14ac:dyDescent="0.25"/>
    <row r="297" spans="1:12" ht="13.5" thickBot="1" x14ac:dyDescent="0.25">
      <c r="A297" s="3" t="s">
        <v>79</v>
      </c>
      <c r="B297" s="356" t="s">
        <v>82</v>
      </c>
      <c r="C297" s="357"/>
      <c r="D297" s="2" t="s">
        <v>74</v>
      </c>
      <c r="E297" s="2" t="s">
        <v>75</v>
      </c>
      <c r="F297" s="4" t="s">
        <v>76</v>
      </c>
      <c r="G297" s="2" t="s">
        <v>74</v>
      </c>
      <c r="H297" s="3" t="s">
        <v>75</v>
      </c>
      <c r="I297" s="4" t="s">
        <v>76</v>
      </c>
      <c r="K297" s="228" t="s">
        <v>20</v>
      </c>
      <c r="L297" s="3" t="s">
        <v>198</v>
      </c>
    </row>
    <row r="298" spans="1:12" ht="13.5" thickBot="1" x14ac:dyDescent="0.25">
      <c r="A298" s="358" t="str">
        <f t="shared" ref="A298" si="51">CONCATENATE(K298," - ",L298)</f>
        <v>ConfiguradorOnline - JAVA: Métodos de Negócio (Controller)</v>
      </c>
      <c r="B298" s="361" t="s">
        <v>80</v>
      </c>
      <c r="C298" s="362"/>
      <c r="D298" s="217"/>
      <c r="E298" s="217"/>
      <c r="F298" s="218"/>
      <c r="G298" s="55" t="s">
        <v>192</v>
      </c>
      <c r="H298" s="220" t="s">
        <v>192</v>
      </c>
      <c r="I298" s="55" t="s">
        <v>192</v>
      </c>
      <c r="K298" s="368" t="s">
        <v>193</v>
      </c>
      <c r="L298" s="368" t="s">
        <v>206</v>
      </c>
    </row>
    <row r="299" spans="1:12" ht="13.5" thickBot="1" x14ac:dyDescent="0.25">
      <c r="A299" s="359"/>
      <c r="B299" s="363" t="s">
        <v>78</v>
      </c>
      <c r="C299" s="364"/>
      <c r="D299" s="210" t="s">
        <v>74</v>
      </c>
      <c r="E299" s="2" t="s">
        <v>75</v>
      </c>
      <c r="F299" s="4" t="s">
        <v>76</v>
      </c>
      <c r="G299" s="3" t="s">
        <v>74</v>
      </c>
      <c r="H299" s="3" t="s">
        <v>75</v>
      </c>
      <c r="I299" s="3" t="s">
        <v>76</v>
      </c>
      <c r="K299" s="371"/>
      <c r="L299" s="371"/>
    </row>
    <row r="300" spans="1:12" x14ac:dyDescent="0.2">
      <c r="A300" s="359"/>
      <c r="B300" s="365" t="s">
        <v>81</v>
      </c>
      <c r="C300" s="214" t="s">
        <v>74</v>
      </c>
      <c r="D300" s="211"/>
      <c r="E300" s="13"/>
      <c r="F300" s="14"/>
      <c r="G300" s="56" t="s">
        <v>192</v>
      </c>
      <c r="H300" s="56" t="s">
        <v>192</v>
      </c>
      <c r="I300" s="221" t="s">
        <v>192</v>
      </c>
      <c r="K300" s="371"/>
      <c r="L300" s="371"/>
    </row>
    <row r="301" spans="1:12" x14ac:dyDescent="0.2">
      <c r="A301" s="359"/>
      <c r="B301" s="366"/>
      <c r="C301" s="215" t="s">
        <v>75</v>
      </c>
      <c r="D301" s="212"/>
      <c r="E301" s="15"/>
      <c r="F301" s="16"/>
      <c r="G301" s="56" t="s">
        <v>192</v>
      </c>
      <c r="H301" s="219" t="s">
        <v>192</v>
      </c>
      <c r="I301" s="56" t="s">
        <v>192</v>
      </c>
      <c r="K301" s="371"/>
      <c r="L301" s="371"/>
    </row>
    <row r="302" spans="1:12" ht="13.5" thickBot="1" x14ac:dyDescent="0.25">
      <c r="A302" s="360"/>
      <c r="B302" s="367"/>
      <c r="C302" s="216" t="s">
        <v>76</v>
      </c>
      <c r="D302" s="213"/>
      <c r="E302" s="17"/>
      <c r="F302" s="18"/>
      <c r="G302" s="209" t="s">
        <v>192</v>
      </c>
      <c r="H302" s="57" t="s">
        <v>192</v>
      </c>
      <c r="I302" s="57" t="s">
        <v>192</v>
      </c>
      <c r="K302" s="372"/>
      <c r="L302" s="372"/>
    </row>
    <row r="303" spans="1:12" ht="4.5" customHeight="1" thickBot="1" x14ac:dyDescent="0.25"/>
    <row r="304" spans="1:12" ht="13.5" thickBot="1" x14ac:dyDescent="0.25">
      <c r="A304" s="3" t="s">
        <v>79</v>
      </c>
      <c r="B304" s="356" t="s">
        <v>82</v>
      </c>
      <c r="C304" s="357"/>
      <c r="D304" s="2" t="s">
        <v>74</v>
      </c>
      <c r="E304" s="2" t="s">
        <v>75</v>
      </c>
      <c r="F304" s="4" t="s">
        <v>76</v>
      </c>
      <c r="G304" s="2" t="s">
        <v>74</v>
      </c>
      <c r="H304" s="3" t="s">
        <v>75</v>
      </c>
      <c r="I304" s="4" t="s">
        <v>76</v>
      </c>
      <c r="K304" s="228" t="s">
        <v>20</v>
      </c>
      <c r="L304" s="3" t="s">
        <v>198</v>
      </c>
    </row>
    <row r="305" spans="1:12" ht="13.5" thickBot="1" x14ac:dyDescent="0.25">
      <c r="A305" s="358" t="str">
        <f t="shared" ref="A305" si="52">CONCATENATE(K305," - ",L305)</f>
        <v>ConfiguradorOnline - JAVA: Entity</v>
      </c>
      <c r="B305" s="361" t="s">
        <v>80</v>
      </c>
      <c r="C305" s="362"/>
      <c r="D305" s="217"/>
      <c r="E305" s="217"/>
      <c r="F305" s="218"/>
      <c r="G305" s="55" t="s">
        <v>192</v>
      </c>
      <c r="H305" s="220" t="s">
        <v>192</v>
      </c>
      <c r="I305" s="55" t="s">
        <v>192</v>
      </c>
      <c r="K305" s="368" t="s">
        <v>193</v>
      </c>
      <c r="L305" s="368" t="s">
        <v>207</v>
      </c>
    </row>
    <row r="306" spans="1:12" ht="13.5" thickBot="1" x14ac:dyDescent="0.25">
      <c r="A306" s="359"/>
      <c r="B306" s="363" t="s">
        <v>78</v>
      </c>
      <c r="C306" s="364"/>
      <c r="D306" s="210" t="s">
        <v>74</v>
      </c>
      <c r="E306" s="2" t="s">
        <v>75</v>
      </c>
      <c r="F306" s="4" t="s">
        <v>76</v>
      </c>
      <c r="G306" s="3" t="s">
        <v>74</v>
      </c>
      <c r="H306" s="3" t="s">
        <v>75</v>
      </c>
      <c r="I306" s="3" t="s">
        <v>76</v>
      </c>
      <c r="K306" s="371"/>
      <c r="L306" s="371"/>
    </row>
    <row r="307" spans="1:12" x14ac:dyDescent="0.2">
      <c r="A307" s="359"/>
      <c r="B307" s="365" t="s">
        <v>81</v>
      </c>
      <c r="C307" s="214" t="s">
        <v>74</v>
      </c>
      <c r="D307" s="211"/>
      <c r="E307" s="13"/>
      <c r="F307" s="14"/>
      <c r="G307" s="56" t="s">
        <v>192</v>
      </c>
      <c r="H307" s="56" t="s">
        <v>192</v>
      </c>
      <c r="I307" s="221" t="s">
        <v>192</v>
      </c>
      <c r="K307" s="371"/>
      <c r="L307" s="371"/>
    </row>
    <row r="308" spans="1:12" ht="13.5" customHeight="1" x14ac:dyDescent="0.2">
      <c r="A308" s="359"/>
      <c r="B308" s="366"/>
      <c r="C308" s="215" t="s">
        <v>75</v>
      </c>
      <c r="D308" s="212"/>
      <c r="E308" s="15"/>
      <c r="F308" s="16"/>
      <c r="G308" s="56" t="s">
        <v>192</v>
      </c>
      <c r="H308" s="219" t="s">
        <v>192</v>
      </c>
      <c r="I308" s="56" t="s">
        <v>192</v>
      </c>
      <c r="K308" s="371"/>
      <c r="L308" s="371"/>
    </row>
    <row r="309" spans="1:12" ht="13.5" thickBot="1" x14ac:dyDescent="0.25">
      <c r="A309" s="360"/>
      <c r="B309" s="367"/>
      <c r="C309" s="216" t="s">
        <v>76</v>
      </c>
      <c r="D309" s="213"/>
      <c r="E309" s="17"/>
      <c r="F309" s="18"/>
      <c r="G309" s="209" t="s">
        <v>192</v>
      </c>
      <c r="H309" s="57" t="s">
        <v>192</v>
      </c>
      <c r="I309" s="57" t="s">
        <v>192</v>
      </c>
      <c r="K309" s="372"/>
      <c r="L309" s="372"/>
    </row>
    <row r="310" spans="1:12" ht="4.5" customHeight="1" thickBot="1" x14ac:dyDescent="0.25"/>
    <row r="311" spans="1:12" ht="13.5" thickBot="1" x14ac:dyDescent="0.25">
      <c r="A311" s="3" t="s">
        <v>79</v>
      </c>
      <c r="B311" s="356" t="s">
        <v>82</v>
      </c>
      <c r="C311" s="357"/>
      <c r="D311" s="2" t="s">
        <v>74</v>
      </c>
      <c r="E311" s="2" t="s">
        <v>75</v>
      </c>
      <c r="F311" s="4" t="s">
        <v>76</v>
      </c>
      <c r="G311" s="2" t="s">
        <v>74</v>
      </c>
      <c r="H311" s="3" t="s">
        <v>75</v>
      </c>
      <c r="I311" s="4" t="s">
        <v>76</v>
      </c>
      <c r="K311" s="228" t="s">
        <v>20</v>
      </c>
      <c r="L311" s="3" t="s">
        <v>198</v>
      </c>
    </row>
    <row r="312" spans="1:12" ht="13.5" thickBot="1" x14ac:dyDescent="0.25">
      <c r="A312" s="358" t="str">
        <f t="shared" ref="A312" si="53">CONCATENATE(K312," - ",L312)</f>
        <v>ConfiguradorOnline - JAVA: Consulta Banco de Dados</v>
      </c>
      <c r="B312" s="361" t="s">
        <v>80</v>
      </c>
      <c r="C312" s="362"/>
      <c r="D312" s="217"/>
      <c r="E312" s="217"/>
      <c r="F312" s="218"/>
      <c r="G312" s="55" t="s">
        <v>192</v>
      </c>
      <c r="H312" s="220" t="s">
        <v>192</v>
      </c>
      <c r="I312" s="55" t="s">
        <v>192</v>
      </c>
      <c r="K312" s="368" t="s">
        <v>193</v>
      </c>
      <c r="L312" s="368" t="s">
        <v>208</v>
      </c>
    </row>
    <row r="313" spans="1:12" ht="13.5" thickBot="1" x14ac:dyDescent="0.25">
      <c r="A313" s="359"/>
      <c r="B313" s="363" t="s">
        <v>78</v>
      </c>
      <c r="C313" s="364"/>
      <c r="D313" s="210" t="s">
        <v>74</v>
      </c>
      <c r="E313" s="2" t="s">
        <v>75</v>
      </c>
      <c r="F313" s="4" t="s">
        <v>76</v>
      </c>
      <c r="G313" s="3" t="s">
        <v>74</v>
      </c>
      <c r="H313" s="3" t="s">
        <v>75</v>
      </c>
      <c r="I313" s="3" t="s">
        <v>76</v>
      </c>
      <c r="K313" s="371"/>
      <c r="L313" s="371"/>
    </row>
    <row r="314" spans="1:12" x14ac:dyDescent="0.2">
      <c r="A314" s="359"/>
      <c r="B314" s="365" t="s">
        <v>81</v>
      </c>
      <c r="C314" s="214" t="s">
        <v>74</v>
      </c>
      <c r="D314" s="211"/>
      <c r="E314" s="13"/>
      <c r="F314" s="14"/>
      <c r="G314" s="56" t="s">
        <v>192</v>
      </c>
      <c r="H314" s="56" t="s">
        <v>192</v>
      </c>
      <c r="I314" s="221" t="s">
        <v>192</v>
      </c>
      <c r="K314" s="371"/>
      <c r="L314" s="371"/>
    </row>
    <row r="315" spans="1:12" x14ac:dyDescent="0.2">
      <c r="A315" s="359"/>
      <c r="B315" s="366"/>
      <c r="C315" s="215" t="s">
        <v>75</v>
      </c>
      <c r="D315" s="212"/>
      <c r="E315" s="15"/>
      <c r="F315" s="16"/>
      <c r="G315" s="56" t="s">
        <v>192</v>
      </c>
      <c r="H315" s="219" t="s">
        <v>192</v>
      </c>
      <c r="I315" s="56" t="s">
        <v>192</v>
      </c>
      <c r="K315" s="371"/>
      <c r="L315" s="371"/>
    </row>
    <row r="316" spans="1:12" ht="13.5" thickBot="1" x14ac:dyDescent="0.25">
      <c r="A316" s="360"/>
      <c r="B316" s="367"/>
      <c r="C316" s="216" t="s">
        <v>76</v>
      </c>
      <c r="D316" s="213"/>
      <c r="E316" s="17"/>
      <c r="F316" s="18"/>
      <c r="G316" s="209" t="s">
        <v>192</v>
      </c>
      <c r="H316" s="57" t="s">
        <v>192</v>
      </c>
      <c r="I316" s="57" t="s">
        <v>192</v>
      </c>
      <c r="K316" s="372"/>
      <c r="L316" s="372"/>
    </row>
    <row r="317" spans="1:12" ht="4.5" customHeight="1" thickBot="1" x14ac:dyDescent="0.25"/>
    <row r="318" spans="1:12" ht="13.5" thickBot="1" x14ac:dyDescent="0.25">
      <c r="A318" s="3" t="s">
        <v>79</v>
      </c>
      <c r="B318" s="356" t="s">
        <v>82</v>
      </c>
      <c r="C318" s="357"/>
      <c r="D318" s="2" t="s">
        <v>74</v>
      </c>
      <c r="E318" s="2" t="s">
        <v>75</v>
      </c>
      <c r="F318" s="4" t="s">
        <v>76</v>
      </c>
      <c r="G318" s="2" t="s">
        <v>74</v>
      </c>
      <c r="H318" s="3" t="s">
        <v>75</v>
      </c>
      <c r="I318" s="4" t="s">
        <v>76</v>
      </c>
      <c r="K318" s="228" t="s">
        <v>20</v>
      </c>
      <c r="L318" s="3" t="s">
        <v>198</v>
      </c>
    </row>
    <row r="319" spans="1:12" ht="13.5" thickBot="1" x14ac:dyDescent="0.25">
      <c r="A319" s="358" t="str">
        <f t="shared" ref="A319" si="54">CONCATENATE(K319," - ",L319)</f>
        <v>ConfiguradorOnline - JAVA: Geração de Stubs</v>
      </c>
      <c r="B319" s="361" t="s">
        <v>80</v>
      </c>
      <c r="C319" s="362"/>
      <c r="D319" s="217"/>
      <c r="E319" s="217"/>
      <c r="F319" s="218"/>
      <c r="G319" s="55" t="s">
        <v>192</v>
      </c>
      <c r="H319" s="220" t="s">
        <v>192</v>
      </c>
      <c r="I319" s="55" t="s">
        <v>192</v>
      </c>
      <c r="K319" s="368" t="s">
        <v>193</v>
      </c>
      <c r="L319" s="368" t="s">
        <v>209</v>
      </c>
    </row>
    <row r="320" spans="1:12" ht="13.5" thickBot="1" x14ac:dyDescent="0.25">
      <c r="A320" s="359"/>
      <c r="B320" s="363" t="s">
        <v>78</v>
      </c>
      <c r="C320" s="364"/>
      <c r="D320" s="210" t="s">
        <v>74</v>
      </c>
      <c r="E320" s="2" t="s">
        <v>75</v>
      </c>
      <c r="F320" s="4" t="s">
        <v>76</v>
      </c>
      <c r="G320" s="3" t="s">
        <v>74</v>
      </c>
      <c r="H320" s="3" t="s">
        <v>75</v>
      </c>
      <c r="I320" s="3" t="s">
        <v>76</v>
      </c>
      <c r="K320" s="371"/>
      <c r="L320" s="371"/>
    </row>
    <row r="321" spans="1:12" x14ac:dyDescent="0.2">
      <c r="A321" s="359"/>
      <c r="B321" s="365" t="s">
        <v>81</v>
      </c>
      <c r="C321" s="214" t="s">
        <v>74</v>
      </c>
      <c r="D321" s="211"/>
      <c r="E321" s="13"/>
      <c r="F321" s="14"/>
      <c r="G321" s="56" t="s">
        <v>192</v>
      </c>
      <c r="H321" s="56" t="s">
        <v>192</v>
      </c>
      <c r="I321" s="221" t="s">
        <v>192</v>
      </c>
      <c r="K321" s="371"/>
      <c r="L321" s="371"/>
    </row>
    <row r="322" spans="1:12" ht="13.5" customHeight="1" x14ac:dyDescent="0.2">
      <c r="A322" s="359"/>
      <c r="B322" s="366"/>
      <c r="C322" s="215" t="s">
        <v>75</v>
      </c>
      <c r="D322" s="212"/>
      <c r="E322" s="15"/>
      <c r="F322" s="16"/>
      <c r="G322" s="56" t="s">
        <v>192</v>
      </c>
      <c r="H322" s="219" t="s">
        <v>192</v>
      </c>
      <c r="I322" s="56" t="s">
        <v>192</v>
      </c>
      <c r="K322" s="371"/>
      <c r="L322" s="371"/>
    </row>
    <row r="323" spans="1:12" ht="13.5" thickBot="1" x14ac:dyDescent="0.25">
      <c r="A323" s="360"/>
      <c r="B323" s="367"/>
      <c r="C323" s="216" t="s">
        <v>76</v>
      </c>
      <c r="D323" s="213"/>
      <c r="E323" s="17"/>
      <c r="F323" s="18"/>
      <c r="G323" s="209" t="s">
        <v>192</v>
      </c>
      <c r="H323" s="57" t="s">
        <v>192</v>
      </c>
      <c r="I323" s="57" t="s">
        <v>192</v>
      </c>
      <c r="K323" s="372"/>
      <c r="L323" s="372"/>
    </row>
    <row r="324" spans="1:12" ht="4.5" customHeight="1" thickBot="1" x14ac:dyDescent="0.25"/>
    <row r="325" spans="1:12" ht="13.5" thickBot="1" x14ac:dyDescent="0.25">
      <c r="A325" s="3" t="s">
        <v>79</v>
      </c>
      <c r="B325" s="356" t="s">
        <v>82</v>
      </c>
      <c r="C325" s="357"/>
      <c r="D325" s="2" t="s">
        <v>74</v>
      </c>
      <c r="E325" s="2" t="s">
        <v>75</v>
      </c>
      <c r="F325" s="4" t="s">
        <v>76</v>
      </c>
      <c r="G325" s="2" t="s">
        <v>74</v>
      </c>
      <c r="H325" s="3" t="s">
        <v>75</v>
      </c>
      <c r="I325" s="4" t="s">
        <v>76</v>
      </c>
      <c r="K325" s="228" t="s">
        <v>20</v>
      </c>
      <c r="L325" s="3" t="s">
        <v>198</v>
      </c>
    </row>
    <row r="326" spans="1:12" ht="13.5" thickBot="1" x14ac:dyDescent="0.25">
      <c r="A326" s="358" t="str">
        <f t="shared" ref="A326" si="55">CONCATENATE(K326," - ",L326)</f>
        <v>ConfiguradorOnline - JSP</v>
      </c>
      <c r="B326" s="361" t="s">
        <v>80</v>
      </c>
      <c r="C326" s="362"/>
      <c r="D326" s="217"/>
      <c r="E326" s="217"/>
      <c r="F326" s="218"/>
      <c r="G326" s="55" t="s">
        <v>192</v>
      </c>
      <c r="H326" s="220" t="s">
        <v>192</v>
      </c>
      <c r="I326" s="55" t="s">
        <v>192</v>
      </c>
      <c r="K326" s="368" t="s">
        <v>193</v>
      </c>
      <c r="L326" s="368" t="s">
        <v>210</v>
      </c>
    </row>
    <row r="327" spans="1:12" ht="13.5" thickBot="1" x14ac:dyDescent="0.25">
      <c r="A327" s="359"/>
      <c r="B327" s="363" t="s">
        <v>78</v>
      </c>
      <c r="C327" s="364"/>
      <c r="D327" s="210" t="s">
        <v>74</v>
      </c>
      <c r="E327" s="2" t="s">
        <v>75</v>
      </c>
      <c r="F327" s="4" t="s">
        <v>76</v>
      </c>
      <c r="G327" s="3" t="s">
        <v>74</v>
      </c>
      <c r="H327" s="3" t="s">
        <v>75</v>
      </c>
      <c r="I327" s="3" t="s">
        <v>76</v>
      </c>
      <c r="K327" s="371"/>
      <c r="L327" s="371"/>
    </row>
    <row r="328" spans="1:12" x14ac:dyDescent="0.2">
      <c r="A328" s="359"/>
      <c r="B328" s="365" t="s">
        <v>81</v>
      </c>
      <c r="C328" s="214" t="s">
        <v>74</v>
      </c>
      <c r="D328" s="211"/>
      <c r="E328" s="13"/>
      <c r="F328" s="14"/>
      <c r="G328" s="56" t="s">
        <v>192</v>
      </c>
      <c r="H328" s="56" t="s">
        <v>192</v>
      </c>
      <c r="I328" s="221" t="s">
        <v>192</v>
      </c>
      <c r="K328" s="371"/>
      <c r="L328" s="371"/>
    </row>
    <row r="329" spans="1:12" ht="13.5" customHeight="1" x14ac:dyDescent="0.2">
      <c r="A329" s="359"/>
      <c r="B329" s="366"/>
      <c r="C329" s="215" t="s">
        <v>75</v>
      </c>
      <c r="D329" s="212"/>
      <c r="E329" s="15"/>
      <c r="F329" s="16"/>
      <c r="G329" s="56" t="s">
        <v>192</v>
      </c>
      <c r="H329" s="219" t="s">
        <v>192</v>
      </c>
      <c r="I329" s="56" t="s">
        <v>192</v>
      </c>
      <c r="K329" s="371"/>
      <c r="L329" s="371"/>
    </row>
    <row r="330" spans="1:12" ht="13.5" thickBot="1" x14ac:dyDescent="0.25">
      <c r="A330" s="360"/>
      <c r="B330" s="367"/>
      <c r="C330" s="216" t="s">
        <v>76</v>
      </c>
      <c r="D330" s="213"/>
      <c r="E330" s="17"/>
      <c r="F330" s="18"/>
      <c r="G330" s="209" t="s">
        <v>192</v>
      </c>
      <c r="H330" s="57" t="s">
        <v>192</v>
      </c>
      <c r="I330" s="57" t="s">
        <v>192</v>
      </c>
      <c r="K330" s="372"/>
      <c r="L330" s="372"/>
    </row>
    <row r="331" spans="1:12" ht="13.5" thickBot="1" x14ac:dyDescent="0.25"/>
    <row r="332" spans="1:12" ht="13.5" thickBot="1" x14ac:dyDescent="0.25">
      <c r="A332" s="3" t="s">
        <v>79</v>
      </c>
      <c r="B332" s="356" t="s">
        <v>82</v>
      </c>
      <c r="C332" s="357"/>
      <c r="D332" s="2" t="s">
        <v>74</v>
      </c>
      <c r="E332" s="2" t="s">
        <v>75</v>
      </c>
      <c r="F332" s="4" t="s">
        <v>76</v>
      </c>
      <c r="G332" s="2" t="s">
        <v>74</v>
      </c>
      <c r="H332" s="3" t="s">
        <v>75</v>
      </c>
      <c r="I332" s="4" t="s">
        <v>76</v>
      </c>
      <c r="K332" s="228" t="s">
        <v>20</v>
      </c>
      <c r="L332" s="3" t="s">
        <v>198</v>
      </c>
    </row>
    <row r="333" spans="1:12" ht="13.5" thickBot="1" x14ac:dyDescent="0.25">
      <c r="A333" s="358" t="str">
        <f t="shared" ref="A333" si="56">CONCATENATE(K333," - ",L333)</f>
        <v>ConfiguradorOnline - Configuração de Projeto/Modulo</v>
      </c>
      <c r="B333" s="361" t="s">
        <v>80</v>
      </c>
      <c r="C333" s="362"/>
      <c r="D333" s="217"/>
      <c r="E333" s="217"/>
      <c r="F333" s="218"/>
      <c r="G333" s="55" t="s">
        <v>192</v>
      </c>
      <c r="H333" s="220" t="s">
        <v>192</v>
      </c>
      <c r="I333" s="55" t="s">
        <v>192</v>
      </c>
      <c r="K333" s="368" t="s">
        <v>193</v>
      </c>
      <c r="L333" s="368" t="s">
        <v>211</v>
      </c>
    </row>
    <row r="334" spans="1:12" ht="13.5" thickBot="1" x14ac:dyDescent="0.25">
      <c r="A334" s="359"/>
      <c r="B334" s="363" t="s">
        <v>78</v>
      </c>
      <c r="C334" s="364"/>
      <c r="D334" s="210" t="s">
        <v>74</v>
      </c>
      <c r="E334" s="2" t="s">
        <v>75</v>
      </c>
      <c r="F334" s="4" t="s">
        <v>76</v>
      </c>
      <c r="G334" s="3" t="s">
        <v>74</v>
      </c>
      <c r="H334" s="3" t="s">
        <v>75</v>
      </c>
      <c r="I334" s="3" t="s">
        <v>76</v>
      </c>
      <c r="K334" s="371"/>
      <c r="L334" s="371"/>
    </row>
    <row r="335" spans="1:12" x14ac:dyDescent="0.2">
      <c r="A335" s="359"/>
      <c r="B335" s="365" t="s">
        <v>81</v>
      </c>
      <c r="C335" s="214" t="s">
        <v>74</v>
      </c>
      <c r="D335" s="211"/>
      <c r="E335" s="13"/>
      <c r="F335" s="14"/>
      <c r="G335" s="56" t="s">
        <v>192</v>
      </c>
      <c r="H335" s="56" t="s">
        <v>192</v>
      </c>
      <c r="I335" s="221" t="s">
        <v>192</v>
      </c>
      <c r="K335" s="371"/>
      <c r="L335" s="371"/>
    </row>
    <row r="336" spans="1:12" ht="13.5" customHeight="1" x14ac:dyDescent="0.2">
      <c r="A336" s="359"/>
      <c r="B336" s="366"/>
      <c r="C336" s="215" t="s">
        <v>75</v>
      </c>
      <c r="D336" s="212"/>
      <c r="E336" s="15"/>
      <c r="F336" s="16"/>
      <c r="G336" s="56" t="s">
        <v>192</v>
      </c>
      <c r="H336" s="219" t="s">
        <v>192</v>
      </c>
      <c r="I336" s="56" t="s">
        <v>192</v>
      </c>
      <c r="K336" s="371"/>
      <c r="L336" s="371"/>
    </row>
    <row r="337" spans="1:12" ht="13.5" thickBot="1" x14ac:dyDescent="0.25">
      <c r="A337" s="360"/>
      <c r="B337" s="367"/>
      <c r="C337" s="216" t="s">
        <v>76</v>
      </c>
      <c r="D337" s="213"/>
      <c r="E337" s="17"/>
      <c r="F337" s="18"/>
      <c r="G337" s="209" t="s">
        <v>192</v>
      </c>
      <c r="H337" s="57" t="s">
        <v>192</v>
      </c>
      <c r="I337" s="57" t="s">
        <v>192</v>
      </c>
      <c r="K337" s="372"/>
      <c r="L337" s="372"/>
    </row>
    <row r="338" spans="1:12" ht="4.5" customHeight="1" thickBot="1" x14ac:dyDescent="0.25"/>
    <row r="339" spans="1:12" ht="13.5" thickBot="1" x14ac:dyDescent="0.25">
      <c r="A339" s="3" t="s">
        <v>79</v>
      </c>
      <c r="B339" s="356" t="s">
        <v>82</v>
      </c>
      <c r="C339" s="357"/>
      <c r="D339" s="2" t="s">
        <v>74</v>
      </c>
      <c r="E339" s="2" t="s">
        <v>75</v>
      </c>
      <c r="F339" s="4" t="s">
        <v>76</v>
      </c>
      <c r="G339" s="2" t="s">
        <v>74</v>
      </c>
      <c r="H339" s="3" t="s">
        <v>75</v>
      </c>
      <c r="I339" s="4" t="s">
        <v>76</v>
      </c>
      <c r="K339" s="228" t="s">
        <v>20</v>
      </c>
      <c r="L339" s="3" t="s">
        <v>198</v>
      </c>
    </row>
    <row r="340" spans="1:12" ht="13.5" thickBot="1" x14ac:dyDescent="0.25">
      <c r="A340" s="358" t="str">
        <f t="shared" ref="A340" si="57">CONCATENATE(K340," - ",L340)</f>
        <v>WFM - Regra Drools</v>
      </c>
      <c r="B340" s="361" t="s">
        <v>80</v>
      </c>
      <c r="C340" s="362"/>
      <c r="D340" s="217"/>
      <c r="E340" s="217"/>
      <c r="F340" s="218"/>
      <c r="G340" s="55" t="s">
        <v>192</v>
      </c>
      <c r="H340" s="220" t="s">
        <v>192</v>
      </c>
      <c r="I340" s="55" t="s">
        <v>192</v>
      </c>
      <c r="K340" s="368" t="s">
        <v>214</v>
      </c>
      <c r="L340" s="373" t="s">
        <v>200</v>
      </c>
    </row>
    <row r="341" spans="1:12" ht="13.5" thickBot="1" x14ac:dyDescent="0.25">
      <c r="A341" s="359"/>
      <c r="B341" s="363" t="s">
        <v>78</v>
      </c>
      <c r="C341" s="364"/>
      <c r="D341" s="210" t="s">
        <v>74</v>
      </c>
      <c r="E341" s="2" t="s">
        <v>75</v>
      </c>
      <c r="F341" s="4" t="s">
        <v>76</v>
      </c>
      <c r="G341" s="3" t="s">
        <v>74</v>
      </c>
      <c r="H341" s="3" t="s">
        <v>75</v>
      </c>
      <c r="I341" s="3" t="s">
        <v>76</v>
      </c>
      <c r="K341" s="369"/>
      <c r="L341" s="371"/>
    </row>
    <row r="342" spans="1:12" x14ac:dyDescent="0.2">
      <c r="A342" s="359"/>
      <c r="B342" s="365" t="s">
        <v>81</v>
      </c>
      <c r="C342" s="214" t="s">
        <v>74</v>
      </c>
      <c r="D342" s="211"/>
      <c r="E342" s="13"/>
      <c r="F342" s="14"/>
      <c r="G342" s="56" t="s">
        <v>192</v>
      </c>
      <c r="H342" s="56" t="s">
        <v>192</v>
      </c>
      <c r="I342" s="221" t="s">
        <v>192</v>
      </c>
      <c r="K342" s="369"/>
      <c r="L342" s="371"/>
    </row>
    <row r="343" spans="1:12" ht="13.5" customHeight="1" x14ac:dyDescent="0.2">
      <c r="A343" s="359"/>
      <c r="B343" s="366"/>
      <c r="C343" s="215" t="s">
        <v>75</v>
      </c>
      <c r="D343" s="212"/>
      <c r="E343" s="15"/>
      <c r="F343" s="16"/>
      <c r="G343" s="56" t="s">
        <v>192</v>
      </c>
      <c r="H343" s="219" t="s">
        <v>192</v>
      </c>
      <c r="I343" s="56" t="s">
        <v>192</v>
      </c>
      <c r="K343" s="369"/>
      <c r="L343" s="371"/>
    </row>
    <row r="344" spans="1:12" ht="13.5" thickBot="1" x14ac:dyDescent="0.25">
      <c r="A344" s="360"/>
      <c r="B344" s="367"/>
      <c r="C344" s="216" t="s">
        <v>76</v>
      </c>
      <c r="D344" s="213"/>
      <c r="E344" s="17"/>
      <c r="F344" s="18"/>
      <c r="G344" s="209" t="s">
        <v>192</v>
      </c>
      <c r="H344" s="57" t="s">
        <v>192</v>
      </c>
      <c r="I344" s="57" t="s">
        <v>192</v>
      </c>
      <c r="K344" s="370"/>
      <c r="L344" s="372"/>
    </row>
    <row r="345" spans="1:12" ht="4.5" customHeight="1" thickBot="1" x14ac:dyDescent="0.25"/>
    <row r="346" spans="1:12" ht="13.5" thickBot="1" x14ac:dyDescent="0.25">
      <c r="A346" s="3" t="s">
        <v>79</v>
      </c>
      <c r="B346" s="356" t="s">
        <v>82</v>
      </c>
      <c r="C346" s="357"/>
      <c r="D346" s="2" t="s">
        <v>74</v>
      </c>
      <c r="E346" s="2" t="s">
        <v>75</v>
      </c>
      <c r="F346" s="4" t="s">
        <v>76</v>
      </c>
      <c r="G346" s="2" t="s">
        <v>74</v>
      </c>
      <c r="H346" s="3" t="s">
        <v>75</v>
      </c>
      <c r="I346" s="4" t="s">
        <v>76</v>
      </c>
      <c r="K346" s="228" t="s">
        <v>20</v>
      </c>
      <c r="L346" s="3" t="s">
        <v>198</v>
      </c>
    </row>
    <row r="347" spans="1:12" ht="13.5" thickBot="1" x14ac:dyDescent="0.25">
      <c r="A347" s="358" t="str">
        <f t="shared" ref="A347" si="58">CONCATENATE(K347," - ",L347)</f>
        <v>WFM - Junit</v>
      </c>
      <c r="B347" s="361" t="s">
        <v>80</v>
      </c>
      <c r="C347" s="362"/>
      <c r="D347" s="217"/>
      <c r="E347" s="217"/>
      <c r="F347" s="218"/>
      <c r="G347" s="55" t="s">
        <v>192</v>
      </c>
      <c r="H347" s="220" t="s">
        <v>192</v>
      </c>
      <c r="I347" s="55" t="s">
        <v>192</v>
      </c>
      <c r="K347" s="368" t="s">
        <v>214</v>
      </c>
      <c r="L347" s="368" t="s">
        <v>201</v>
      </c>
    </row>
    <row r="348" spans="1:12" ht="13.5" thickBot="1" x14ac:dyDescent="0.25">
      <c r="A348" s="359"/>
      <c r="B348" s="363" t="s">
        <v>78</v>
      </c>
      <c r="C348" s="364"/>
      <c r="D348" s="210" t="s">
        <v>74</v>
      </c>
      <c r="E348" s="2" t="s">
        <v>75</v>
      </c>
      <c r="F348" s="4" t="s">
        <v>76</v>
      </c>
      <c r="G348" s="3" t="s">
        <v>74</v>
      </c>
      <c r="H348" s="3" t="s">
        <v>75</v>
      </c>
      <c r="I348" s="3" t="s">
        <v>76</v>
      </c>
      <c r="K348" s="369"/>
      <c r="L348" s="371"/>
    </row>
    <row r="349" spans="1:12" x14ac:dyDescent="0.2">
      <c r="A349" s="359"/>
      <c r="B349" s="365" t="s">
        <v>81</v>
      </c>
      <c r="C349" s="214" t="s">
        <v>74</v>
      </c>
      <c r="D349" s="211"/>
      <c r="E349" s="13"/>
      <c r="F349" s="14"/>
      <c r="G349" s="56" t="s">
        <v>192</v>
      </c>
      <c r="H349" s="56" t="s">
        <v>192</v>
      </c>
      <c r="I349" s="221" t="s">
        <v>192</v>
      </c>
      <c r="K349" s="369"/>
      <c r="L349" s="371"/>
    </row>
    <row r="350" spans="1:12" x14ac:dyDescent="0.2">
      <c r="A350" s="359"/>
      <c r="B350" s="366"/>
      <c r="C350" s="215" t="s">
        <v>75</v>
      </c>
      <c r="D350" s="212"/>
      <c r="E350" s="15"/>
      <c r="F350" s="16"/>
      <c r="G350" s="56" t="s">
        <v>192</v>
      </c>
      <c r="H350" s="219" t="s">
        <v>192</v>
      </c>
      <c r="I350" s="56" t="s">
        <v>192</v>
      </c>
      <c r="K350" s="369"/>
      <c r="L350" s="371"/>
    </row>
    <row r="351" spans="1:12" ht="13.5" thickBot="1" x14ac:dyDescent="0.25">
      <c r="A351" s="360"/>
      <c r="B351" s="367"/>
      <c r="C351" s="216" t="s">
        <v>76</v>
      </c>
      <c r="D351" s="213"/>
      <c r="E351" s="17"/>
      <c r="F351" s="18"/>
      <c r="G351" s="209" t="s">
        <v>192</v>
      </c>
      <c r="H351" s="57" t="s">
        <v>192</v>
      </c>
      <c r="I351" s="57" t="s">
        <v>192</v>
      </c>
      <c r="K351" s="370"/>
      <c r="L351" s="372"/>
    </row>
    <row r="352" spans="1:12" ht="3.75" customHeight="1" thickBot="1" x14ac:dyDescent="0.25"/>
    <row r="353" spans="1:12" ht="13.5" thickBot="1" x14ac:dyDescent="0.25">
      <c r="A353" s="3" t="s">
        <v>79</v>
      </c>
      <c r="B353" s="356" t="s">
        <v>82</v>
      </c>
      <c r="C353" s="357"/>
      <c r="D353" s="2" t="s">
        <v>74</v>
      </c>
      <c r="E353" s="2" t="s">
        <v>75</v>
      </c>
      <c r="F353" s="4" t="s">
        <v>76</v>
      </c>
      <c r="G353" s="2" t="s">
        <v>74</v>
      </c>
      <c r="H353" s="3" t="s">
        <v>75</v>
      </c>
      <c r="I353" s="4" t="s">
        <v>76</v>
      </c>
      <c r="K353" s="228" t="s">
        <v>20</v>
      </c>
      <c r="L353" s="3" t="s">
        <v>198</v>
      </c>
    </row>
    <row r="354" spans="1:12" ht="13.5" thickBot="1" x14ac:dyDescent="0.25">
      <c r="A354" s="358" t="str">
        <f t="shared" ref="A354" si="59">CONCATENATE(K354," - ",L354)</f>
        <v>WFM - Banco de Dados (DML,DDL)</v>
      </c>
      <c r="B354" s="361" t="s">
        <v>80</v>
      </c>
      <c r="C354" s="362"/>
      <c r="D354" s="217"/>
      <c r="E354" s="217"/>
      <c r="F354" s="218"/>
      <c r="G354" s="55" t="s">
        <v>192</v>
      </c>
      <c r="H354" s="220" t="s">
        <v>192</v>
      </c>
      <c r="I354" s="55" t="s">
        <v>192</v>
      </c>
      <c r="K354" s="368" t="s">
        <v>214</v>
      </c>
      <c r="L354" s="368" t="s">
        <v>202</v>
      </c>
    </row>
    <row r="355" spans="1:12" ht="13.5" thickBot="1" x14ac:dyDescent="0.25">
      <c r="A355" s="359"/>
      <c r="B355" s="363" t="s">
        <v>78</v>
      </c>
      <c r="C355" s="364"/>
      <c r="D355" s="210" t="s">
        <v>74</v>
      </c>
      <c r="E355" s="2" t="s">
        <v>75</v>
      </c>
      <c r="F355" s="4" t="s">
        <v>76</v>
      </c>
      <c r="G355" s="3" t="s">
        <v>74</v>
      </c>
      <c r="H355" s="3" t="s">
        <v>75</v>
      </c>
      <c r="I355" s="3" t="s">
        <v>76</v>
      </c>
      <c r="K355" s="369"/>
      <c r="L355" s="371"/>
    </row>
    <row r="356" spans="1:12" x14ac:dyDescent="0.2">
      <c r="A356" s="359"/>
      <c r="B356" s="365" t="s">
        <v>81</v>
      </c>
      <c r="C356" s="214" t="s">
        <v>74</v>
      </c>
      <c r="D356" s="211"/>
      <c r="E356" s="13"/>
      <c r="F356" s="14"/>
      <c r="G356" s="56" t="s">
        <v>192</v>
      </c>
      <c r="H356" s="56" t="s">
        <v>192</v>
      </c>
      <c r="I356" s="221" t="s">
        <v>192</v>
      </c>
      <c r="K356" s="369"/>
      <c r="L356" s="371"/>
    </row>
    <row r="357" spans="1:12" x14ac:dyDescent="0.2">
      <c r="A357" s="359"/>
      <c r="B357" s="366"/>
      <c r="C357" s="215" t="s">
        <v>75</v>
      </c>
      <c r="D357" s="212"/>
      <c r="E357" s="15"/>
      <c r="F357" s="16"/>
      <c r="G357" s="56" t="s">
        <v>192</v>
      </c>
      <c r="H357" s="219" t="s">
        <v>192</v>
      </c>
      <c r="I357" s="56" t="s">
        <v>192</v>
      </c>
      <c r="K357" s="369"/>
      <c r="L357" s="371"/>
    </row>
    <row r="358" spans="1:12" ht="13.5" thickBot="1" x14ac:dyDescent="0.25">
      <c r="A358" s="360"/>
      <c r="B358" s="367"/>
      <c r="C358" s="216" t="s">
        <v>76</v>
      </c>
      <c r="D358" s="213"/>
      <c r="E358" s="17"/>
      <c r="F358" s="18"/>
      <c r="G358" s="209" t="s">
        <v>192</v>
      </c>
      <c r="H358" s="57" t="s">
        <v>192</v>
      </c>
      <c r="I358" s="57" t="s">
        <v>192</v>
      </c>
      <c r="K358" s="370"/>
      <c r="L358" s="372"/>
    </row>
    <row r="359" spans="1:12" ht="13.5" thickBot="1" x14ac:dyDescent="0.25"/>
    <row r="360" spans="1:12" ht="13.5" thickBot="1" x14ac:dyDescent="0.25">
      <c r="A360" s="3" t="s">
        <v>79</v>
      </c>
      <c r="B360" s="356" t="s">
        <v>82</v>
      </c>
      <c r="C360" s="357"/>
      <c r="D360" s="2" t="s">
        <v>74</v>
      </c>
      <c r="E360" s="2" t="s">
        <v>75</v>
      </c>
      <c r="F360" s="4" t="s">
        <v>76</v>
      </c>
      <c r="G360" s="2" t="s">
        <v>74</v>
      </c>
      <c r="H360" s="3" t="s">
        <v>75</v>
      </c>
      <c r="I360" s="4" t="s">
        <v>76</v>
      </c>
      <c r="K360" s="228" t="s">
        <v>20</v>
      </c>
      <c r="L360" s="3" t="s">
        <v>198</v>
      </c>
    </row>
    <row r="361" spans="1:12" ht="13.5" thickBot="1" x14ac:dyDescent="0.25">
      <c r="A361" s="358" t="str">
        <f t="shared" ref="A361" si="60">CONCATENATE(K361," - ",L361)</f>
        <v>WFM - Banco de Dados (PL/SQL)</v>
      </c>
      <c r="B361" s="361" t="s">
        <v>80</v>
      </c>
      <c r="C361" s="362"/>
      <c r="D361" s="217"/>
      <c r="E361" s="217"/>
      <c r="F361" s="218"/>
      <c r="G361" s="55" t="s">
        <v>192</v>
      </c>
      <c r="H361" s="220" t="s">
        <v>192</v>
      </c>
      <c r="I361" s="55" t="s">
        <v>192</v>
      </c>
      <c r="K361" s="368" t="s">
        <v>214</v>
      </c>
      <c r="L361" s="368" t="s">
        <v>203</v>
      </c>
    </row>
    <row r="362" spans="1:12" ht="13.5" thickBot="1" x14ac:dyDescent="0.25">
      <c r="A362" s="359"/>
      <c r="B362" s="363" t="s">
        <v>78</v>
      </c>
      <c r="C362" s="364"/>
      <c r="D362" s="210" t="s">
        <v>74</v>
      </c>
      <c r="E362" s="2" t="s">
        <v>75</v>
      </c>
      <c r="F362" s="4" t="s">
        <v>76</v>
      </c>
      <c r="G362" s="3" t="s">
        <v>74</v>
      </c>
      <c r="H362" s="3" t="s">
        <v>75</v>
      </c>
      <c r="I362" s="3" t="s">
        <v>76</v>
      </c>
      <c r="K362" s="369"/>
      <c r="L362" s="371"/>
    </row>
    <row r="363" spans="1:12" x14ac:dyDescent="0.2">
      <c r="A363" s="359"/>
      <c r="B363" s="365" t="s">
        <v>81</v>
      </c>
      <c r="C363" s="214" t="s">
        <v>74</v>
      </c>
      <c r="D363" s="211"/>
      <c r="E363" s="13"/>
      <c r="F363" s="14"/>
      <c r="G363" s="56" t="s">
        <v>192</v>
      </c>
      <c r="H363" s="56" t="s">
        <v>192</v>
      </c>
      <c r="I363" s="221" t="s">
        <v>192</v>
      </c>
      <c r="K363" s="369"/>
      <c r="L363" s="371"/>
    </row>
    <row r="364" spans="1:12" x14ac:dyDescent="0.2">
      <c r="A364" s="359"/>
      <c r="B364" s="366"/>
      <c r="C364" s="215" t="s">
        <v>75</v>
      </c>
      <c r="D364" s="212"/>
      <c r="E364" s="15"/>
      <c r="F364" s="16"/>
      <c r="G364" s="56" t="s">
        <v>192</v>
      </c>
      <c r="H364" s="219" t="s">
        <v>192</v>
      </c>
      <c r="I364" s="56" t="s">
        <v>192</v>
      </c>
      <c r="K364" s="369"/>
      <c r="L364" s="371"/>
    </row>
    <row r="365" spans="1:12" ht="13.5" thickBot="1" x14ac:dyDescent="0.25">
      <c r="A365" s="360"/>
      <c r="B365" s="367"/>
      <c r="C365" s="216" t="s">
        <v>76</v>
      </c>
      <c r="D365" s="213"/>
      <c r="E365" s="17"/>
      <c r="F365" s="18"/>
      <c r="G365" s="209" t="s">
        <v>192</v>
      </c>
      <c r="H365" s="57" t="s">
        <v>192</v>
      </c>
      <c r="I365" s="57" t="s">
        <v>192</v>
      </c>
      <c r="K365" s="370"/>
      <c r="L365" s="372"/>
    </row>
    <row r="366" spans="1:12" ht="13.5" thickBot="1" x14ac:dyDescent="0.25"/>
    <row r="367" spans="1:12" ht="13.5" thickBot="1" x14ac:dyDescent="0.25">
      <c r="A367" s="3" t="s">
        <v>79</v>
      </c>
      <c r="B367" s="356" t="s">
        <v>82</v>
      </c>
      <c r="C367" s="357"/>
      <c r="D367" s="2" t="s">
        <v>74</v>
      </c>
      <c r="E367" s="2" t="s">
        <v>75</v>
      </c>
      <c r="F367" s="4" t="s">
        <v>76</v>
      </c>
      <c r="G367" s="2" t="s">
        <v>74</v>
      </c>
      <c r="H367" s="3" t="s">
        <v>75</v>
      </c>
      <c r="I367" s="4" t="s">
        <v>76</v>
      </c>
      <c r="K367" s="228" t="s">
        <v>20</v>
      </c>
      <c r="L367" s="3" t="s">
        <v>198</v>
      </c>
    </row>
    <row r="368" spans="1:12" ht="13.5" thickBot="1" x14ac:dyDescent="0.25">
      <c r="A368" s="358" t="str">
        <f t="shared" ref="A368" si="61">CONCATENATE(K368," - ",L368)</f>
        <v>WFM - JAVA: Interface WebService</v>
      </c>
      <c r="B368" s="361" t="s">
        <v>80</v>
      </c>
      <c r="C368" s="362"/>
      <c r="D368" s="217"/>
      <c r="E368" s="217"/>
      <c r="F368" s="218"/>
      <c r="G368" s="55" t="s">
        <v>192</v>
      </c>
      <c r="H368" s="220" t="s">
        <v>192</v>
      </c>
      <c r="I368" s="55" t="s">
        <v>192</v>
      </c>
      <c r="K368" s="368" t="s">
        <v>214</v>
      </c>
      <c r="L368" s="368" t="s">
        <v>204</v>
      </c>
    </row>
    <row r="369" spans="1:12" ht="13.5" thickBot="1" x14ac:dyDescent="0.25">
      <c r="A369" s="359"/>
      <c r="B369" s="363" t="s">
        <v>78</v>
      </c>
      <c r="C369" s="364"/>
      <c r="D369" s="210" t="s">
        <v>74</v>
      </c>
      <c r="E369" s="2" t="s">
        <v>75</v>
      </c>
      <c r="F369" s="4" t="s">
        <v>76</v>
      </c>
      <c r="G369" s="3" t="s">
        <v>74</v>
      </c>
      <c r="H369" s="3" t="s">
        <v>75</v>
      </c>
      <c r="I369" s="3" t="s">
        <v>76</v>
      </c>
      <c r="K369" s="369"/>
      <c r="L369" s="371"/>
    </row>
    <row r="370" spans="1:12" x14ac:dyDescent="0.2">
      <c r="A370" s="359"/>
      <c r="B370" s="365" t="s">
        <v>81</v>
      </c>
      <c r="C370" s="214" t="s">
        <v>74</v>
      </c>
      <c r="D370" s="211"/>
      <c r="E370" s="13"/>
      <c r="F370" s="14"/>
      <c r="G370" s="56" t="s">
        <v>192</v>
      </c>
      <c r="H370" s="56" t="s">
        <v>192</v>
      </c>
      <c r="I370" s="221" t="s">
        <v>192</v>
      </c>
      <c r="K370" s="369"/>
      <c r="L370" s="371"/>
    </row>
    <row r="371" spans="1:12" x14ac:dyDescent="0.2">
      <c r="A371" s="359"/>
      <c r="B371" s="366"/>
      <c r="C371" s="215" t="s">
        <v>75</v>
      </c>
      <c r="D371" s="212"/>
      <c r="E371" s="15"/>
      <c r="F371" s="16"/>
      <c r="G371" s="56" t="s">
        <v>192</v>
      </c>
      <c r="H371" s="219" t="s">
        <v>192</v>
      </c>
      <c r="I371" s="56" t="s">
        <v>192</v>
      </c>
      <c r="K371" s="369"/>
      <c r="L371" s="371"/>
    </row>
    <row r="372" spans="1:12" ht="13.5" thickBot="1" x14ac:dyDescent="0.25">
      <c r="A372" s="360"/>
      <c r="B372" s="367"/>
      <c r="C372" s="216" t="s">
        <v>76</v>
      </c>
      <c r="D372" s="213"/>
      <c r="E372" s="17"/>
      <c r="F372" s="18"/>
      <c r="G372" s="209" t="s">
        <v>192</v>
      </c>
      <c r="H372" s="57" t="s">
        <v>192</v>
      </c>
      <c r="I372" s="57" t="s">
        <v>192</v>
      </c>
      <c r="K372" s="370"/>
      <c r="L372" s="372"/>
    </row>
    <row r="373" spans="1:12" ht="13.5" thickBot="1" x14ac:dyDescent="0.25"/>
    <row r="374" spans="1:12" ht="13.5" thickBot="1" x14ac:dyDescent="0.25">
      <c r="A374" s="3" t="s">
        <v>79</v>
      </c>
      <c r="B374" s="356" t="s">
        <v>82</v>
      </c>
      <c r="C374" s="357"/>
      <c r="D374" s="2" t="s">
        <v>74</v>
      </c>
      <c r="E374" s="2" t="s">
        <v>75</v>
      </c>
      <c r="F374" s="4" t="s">
        <v>76</v>
      </c>
      <c r="G374" s="2" t="s">
        <v>74</v>
      </c>
      <c r="H374" s="3" t="s">
        <v>75</v>
      </c>
      <c r="I374" s="4" t="s">
        <v>76</v>
      </c>
      <c r="K374" s="228" t="s">
        <v>20</v>
      </c>
      <c r="L374" s="3" t="s">
        <v>198</v>
      </c>
    </row>
    <row r="375" spans="1:12" ht="13.5" thickBot="1" x14ac:dyDescent="0.25">
      <c r="A375" s="358" t="str">
        <f t="shared" ref="A375" si="62">CONCATENATE(K375," - ",L375)</f>
        <v>WFM - JAVA: Transformação de Objetos</v>
      </c>
      <c r="B375" s="361" t="s">
        <v>80</v>
      </c>
      <c r="C375" s="362"/>
      <c r="D375" s="217"/>
      <c r="E375" s="217"/>
      <c r="F375" s="218"/>
      <c r="G375" s="55" t="s">
        <v>192</v>
      </c>
      <c r="H375" s="220" t="s">
        <v>192</v>
      </c>
      <c r="I375" s="55" t="s">
        <v>192</v>
      </c>
      <c r="K375" s="368" t="s">
        <v>214</v>
      </c>
      <c r="L375" s="368" t="s">
        <v>205</v>
      </c>
    </row>
    <row r="376" spans="1:12" ht="13.5" thickBot="1" x14ac:dyDescent="0.25">
      <c r="A376" s="359"/>
      <c r="B376" s="363" t="s">
        <v>78</v>
      </c>
      <c r="C376" s="364"/>
      <c r="D376" s="210" t="s">
        <v>74</v>
      </c>
      <c r="E376" s="2" t="s">
        <v>75</v>
      </c>
      <c r="F376" s="4" t="s">
        <v>76</v>
      </c>
      <c r="G376" s="3" t="s">
        <v>74</v>
      </c>
      <c r="H376" s="3" t="s">
        <v>75</v>
      </c>
      <c r="I376" s="3" t="s">
        <v>76</v>
      </c>
      <c r="K376" s="369"/>
      <c r="L376" s="371"/>
    </row>
    <row r="377" spans="1:12" x14ac:dyDescent="0.2">
      <c r="A377" s="359"/>
      <c r="B377" s="365" t="s">
        <v>81</v>
      </c>
      <c r="C377" s="214" t="s">
        <v>74</v>
      </c>
      <c r="D377" s="211"/>
      <c r="E377" s="13"/>
      <c r="F377" s="14"/>
      <c r="G377" s="56" t="s">
        <v>192</v>
      </c>
      <c r="H377" s="56" t="s">
        <v>192</v>
      </c>
      <c r="I377" s="221" t="s">
        <v>192</v>
      </c>
      <c r="K377" s="369"/>
      <c r="L377" s="371"/>
    </row>
    <row r="378" spans="1:12" x14ac:dyDescent="0.2">
      <c r="A378" s="359"/>
      <c r="B378" s="366"/>
      <c r="C378" s="215" t="s">
        <v>75</v>
      </c>
      <c r="D378" s="212"/>
      <c r="E378" s="15"/>
      <c r="F378" s="16"/>
      <c r="G378" s="56" t="s">
        <v>192</v>
      </c>
      <c r="H378" s="219" t="s">
        <v>192</v>
      </c>
      <c r="I378" s="56" t="s">
        <v>192</v>
      </c>
      <c r="K378" s="369"/>
      <c r="L378" s="371"/>
    </row>
    <row r="379" spans="1:12" ht="13.5" thickBot="1" x14ac:dyDescent="0.25">
      <c r="A379" s="360"/>
      <c r="B379" s="367"/>
      <c r="C379" s="216" t="s">
        <v>76</v>
      </c>
      <c r="D379" s="213"/>
      <c r="E379" s="17"/>
      <c r="F379" s="18"/>
      <c r="G379" s="209" t="s">
        <v>192</v>
      </c>
      <c r="H379" s="57" t="s">
        <v>192</v>
      </c>
      <c r="I379" s="57" t="s">
        <v>192</v>
      </c>
      <c r="K379" s="370"/>
      <c r="L379" s="372"/>
    </row>
    <row r="380" spans="1:12" ht="13.5" thickBot="1" x14ac:dyDescent="0.25"/>
    <row r="381" spans="1:12" ht="13.5" thickBot="1" x14ac:dyDescent="0.25">
      <c r="A381" s="3" t="s">
        <v>79</v>
      </c>
      <c r="B381" s="356" t="s">
        <v>82</v>
      </c>
      <c r="C381" s="357"/>
      <c r="D381" s="2" t="s">
        <v>74</v>
      </c>
      <c r="E381" s="2" t="s">
        <v>75</v>
      </c>
      <c r="F381" s="4" t="s">
        <v>76</v>
      </c>
      <c r="G381" s="2" t="s">
        <v>74</v>
      </c>
      <c r="H381" s="3" t="s">
        <v>75</v>
      </c>
      <c r="I381" s="4" t="s">
        <v>76</v>
      </c>
      <c r="K381" s="228" t="s">
        <v>20</v>
      </c>
      <c r="L381" s="3" t="s">
        <v>198</v>
      </c>
    </row>
    <row r="382" spans="1:12" ht="13.5" thickBot="1" x14ac:dyDescent="0.25">
      <c r="A382" s="358" t="str">
        <f t="shared" ref="A382" si="63">CONCATENATE(K382," - ",L382)</f>
        <v>WFM - JAVA: Métodos de Negócio (Controller)</v>
      </c>
      <c r="B382" s="361" t="s">
        <v>80</v>
      </c>
      <c r="C382" s="362"/>
      <c r="D382" s="217"/>
      <c r="E382" s="217"/>
      <c r="F382" s="218"/>
      <c r="G382" s="55" t="s">
        <v>192</v>
      </c>
      <c r="H382" s="220" t="s">
        <v>192</v>
      </c>
      <c r="I382" s="55" t="s">
        <v>192</v>
      </c>
      <c r="K382" s="368" t="s">
        <v>214</v>
      </c>
      <c r="L382" s="368" t="s">
        <v>206</v>
      </c>
    </row>
    <row r="383" spans="1:12" ht="13.5" thickBot="1" x14ac:dyDescent="0.25">
      <c r="A383" s="359"/>
      <c r="B383" s="363" t="s">
        <v>78</v>
      </c>
      <c r="C383" s="364"/>
      <c r="D383" s="210" t="s">
        <v>74</v>
      </c>
      <c r="E383" s="2" t="s">
        <v>75</v>
      </c>
      <c r="F383" s="4" t="s">
        <v>76</v>
      </c>
      <c r="G383" s="3" t="s">
        <v>74</v>
      </c>
      <c r="H383" s="3" t="s">
        <v>75</v>
      </c>
      <c r="I383" s="3" t="s">
        <v>76</v>
      </c>
      <c r="K383" s="369"/>
      <c r="L383" s="371"/>
    </row>
    <row r="384" spans="1:12" x14ac:dyDescent="0.2">
      <c r="A384" s="359"/>
      <c r="B384" s="365" t="s">
        <v>81</v>
      </c>
      <c r="C384" s="214" t="s">
        <v>74</v>
      </c>
      <c r="D384" s="211"/>
      <c r="E384" s="13"/>
      <c r="F384" s="14"/>
      <c r="G384" s="56" t="s">
        <v>192</v>
      </c>
      <c r="H384" s="56" t="s">
        <v>192</v>
      </c>
      <c r="I384" s="221" t="s">
        <v>192</v>
      </c>
      <c r="K384" s="369"/>
      <c r="L384" s="371"/>
    </row>
    <row r="385" spans="1:12" x14ac:dyDescent="0.2">
      <c r="A385" s="359"/>
      <c r="B385" s="366"/>
      <c r="C385" s="215" t="s">
        <v>75</v>
      </c>
      <c r="D385" s="212"/>
      <c r="E385" s="15"/>
      <c r="F385" s="16"/>
      <c r="G385" s="56" t="s">
        <v>192</v>
      </c>
      <c r="H385" s="219" t="s">
        <v>192</v>
      </c>
      <c r="I385" s="56" t="s">
        <v>192</v>
      </c>
      <c r="K385" s="369"/>
      <c r="L385" s="371"/>
    </row>
    <row r="386" spans="1:12" ht="13.5" thickBot="1" x14ac:dyDescent="0.25">
      <c r="A386" s="360"/>
      <c r="B386" s="367"/>
      <c r="C386" s="216" t="s">
        <v>76</v>
      </c>
      <c r="D386" s="213"/>
      <c r="E386" s="17"/>
      <c r="F386" s="18"/>
      <c r="G386" s="209" t="s">
        <v>192</v>
      </c>
      <c r="H386" s="57" t="s">
        <v>192</v>
      </c>
      <c r="I386" s="57" t="s">
        <v>192</v>
      </c>
      <c r="K386" s="370"/>
      <c r="L386" s="372"/>
    </row>
    <row r="387" spans="1:12" ht="13.5" thickBot="1" x14ac:dyDescent="0.25"/>
    <row r="388" spans="1:12" ht="13.5" thickBot="1" x14ac:dyDescent="0.25">
      <c r="A388" s="3" t="s">
        <v>79</v>
      </c>
      <c r="B388" s="356" t="s">
        <v>82</v>
      </c>
      <c r="C388" s="357"/>
      <c r="D388" s="2" t="s">
        <v>74</v>
      </c>
      <c r="E388" s="2" t="s">
        <v>75</v>
      </c>
      <c r="F388" s="4" t="s">
        <v>76</v>
      </c>
      <c r="G388" s="2" t="s">
        <v>74</v>
      </c>
      <c r="H388" s="3" t="s">
        <v>75</v>
      </c>
      <c r="I388" s="4" t="s">
        <v>76</v>
      </c>
      <c r="K388" s="228" t="s">
        <v>20</v>
      </c>
      <c r="L388" s="3" t="s">
        <v>198</v>
      </c>
    </row>
    <row r="389" spans="1:12" ht="13.5" thickBot="1" x14ac:dyDescent="0.25">
      <c r="A389" s="358" t="str">
        <f t="shared" ref="A389" si="64">CONCATENATE(K389," - ",L389)</f>
        <v>WFM - JAVA: Entity</v>
      </c>
      <c r="B389" s="361" t="s">
        <v>80</v>
      </c>
      <c r="C389" s="362"/>
      <c r="D389" s="217"/>
      <c r="E389" s="217"/>
      <c r="F389" s="218"/>
      <c r="G389" s="55" t="s">
        <v>192</v>
      </c>
      <c r="H389" s="220" t="s">
        <v>192</v>
      </c>
      <c r="I389" s="55" t="s">
        <v>192</v>
      </c>
      <c r="K389" s="368" t="s">
        <v>214</v>
      </c>
      <c r="L389" s="368" t="s">
        <v>207</v>
      </c>
    </row>
    <row r="390" spans="1:12" ht="13.5" thickBot="1" x14ac:dyDescent="0.25">
      <c r="A390" s="359"/>
      <c r="B390" s="363" t="s">
        <v>78</v>
      </c>
      <c r="C390" s="364"/>
      <c r="D390" s="210" t="s">
        <v>74</v>
      </c>
      <c r="E390" s="2" t="s">
        <v>75</v>
      </c>
      <c r="F390" s="4" t="s">
        <v>76</v>
      </c>
      <c r="G390" s="3" t="s">
        <v>74</v>
      </c>
      <c r="H390" s="3" t="s">
        <v>75</v>
      </c>
      <c r="I390" s="3" t="s">
        <v>76</v>
      </c>
      <c r="K390" s="369"/>
      <c r="L390" s="371"/>
    </row>
    <row r="391" spans="1:12" x14ac:dyDescent="0.2">
      <c r="A391" s="359"/>
      <c r="B391" s="365" t="s">
        <v>81</v>
      </c>
      <c r="C391" s="214" t="s">
        <v>74</v>
      </c>
      <c r="D391" s="211"/>
      <c r="E391" s="13"/>
      <c r="F391" s="14"/>
      <c r="G391" s="56" t="s">
        <v>192</v>
      </c>
      <c r="H391" s="56" t="s">
        <v>192</v>
      </c>
      <c r="I391" s="221" t="s">
        <v>192</v>
      </c>
      <c r="K391" s="369"/>
      <c r="L391" s="371"/>
    </row>
    <row r="392" spans="1:12" x14ac:dyDescent="0.2">
      <c r="A392" s="359"/>
      <c r="B392" s="366"/>
      <c r="C392" s="215" t="s">
        <v>75</v>
      </c>
      <c r="D392" s="212"/>
      <c r="E392" s="15"/>
      <c r="F392" s="16"/>
      <c r="G392" s="56" t="s">
        <v>192</v>
      </c>
      <c r="H392" s="219" t="s">
        <v>192</v>
      </c>
      <c r="I392" s="56" t="s">
        <v>192</v>
      </c>
      <c r="K392" s="369"/>
      <c r="L392" s="371"/>
    </row>
    <row r="393" spans="1:12" ht="13.5" thickBot="1" x14ac:dyDescent="0.25">
      <c r="A393" s="360"/>
      <c r="B393" s="367"/>
      <c r="C393" s="216" t="s">
        <v>76</v>
      </c>
      <c r="D393" s="213"/>
      <c r="E393" s="17"/>
      <c r="F393" s="18"/>
      <c r="G393" s="209" t="s">
        <v>192</v>
      </c>
      <c r="H393" s="57" t="s">
        <v>192</v>
      </c>
      <c r="I393" s="57" t="s">
        <v>192</v>
      </c>
      <c r="K393" s="370"/>
      <c r="L393" s="372"/>
    </row>
    <row r="394" spans="1:12" ht="13.5" thickBot="1" x14ac:dyDescent="0.25"/>
    <row r="395" spans="1:12" ht="13.5" thickBot="1" x14ac:dyDescent="0.25">
      <c r="A395" s="3" t="s">
        <v>79</v>
      </c>
      <c r="B395" s="356" t="s">
        <v>82</v>
      </c>
      <c r="C395" s="357"/>
      <c r="D395" s="2" t="s">
        <v>74</v>
      </c>
      <c r="E395" s="2" t="s">
        <v>75</v>
      </c>
      <c r="F395" s="4" t="s">
        <v>76</v>
      </c>
      <c r="G395" s="2" t="s">
        <v>74</v>
      </c>
      <c r="H395" s="3" t="s">
        <v>75</v>
      </c>
      <c r="I395" s="4" t="s">
        <v>76</v>
      </c>
      <c r="K395" s="228" t="s">
        <v>20</v>
      </c>
      <c r="L395" s="3" t="s">
        <v>198</v>
      </c>
    </row>
    <row r="396" spans="1:12" ht="13.5" thickBot="1" x14ac:dyDescent="0.25">
      <c r="A396" s="358" t="str">
        <f t="shared" ref="A396" si="65">CONCATENATE(K396," - ",L396)</f>
        <v>WFM - JAVA: Consulta Banco de Dados</v>
      </c>
      <c r="B396" s="361" t="s">
        <v>80</v>
      </c>
      <c r="C396" s="362"/>
      <c r="D396" s="217"/>
      <c r="E396" s="217"/>
      <c r="F396" s="218"/>
      <c r="G396" s="55" t="s">
        <v>192</v>
      </c>
      <c r="H396" s="220" t="s">
        <v>192</v>
      </c>
      <c r="I396" s="55" t="s">
        <v>192</v>
      </c>
      <c r="K396" s="368" t="s">
        <v>214</v>
      </c>
      <c r="L396" s="368" t="s">
        <v>208</v>
      </c>
    </row>
    <row r="397" spans="1:12" ht="13.5" thickBot="1" x14ac:dyDescent="0.25">
      <c r="A397" s="359"/>
      <c r="B397" s="363" t="s">
        <v>78</v>
      </c>
      <c r="C397" s="364"/>
      <c r="D397" s="210" t="s">
        <v>74</v>
      </c>
      <c r="E397" s="2" t="s">
        <v>75</v>
      </c>
      <c r="F397" s="4" t="s">
        <v>76</v>
      </c>
      <c r="G397" s="3" t="s">
        <v>74</v>
      </c>
      <c r="H397" s="3" t="s">
        <v>75</v>
      </c>
      <c r="I397" s="3" t="s">
        <v>76</v>
      </c>
      <c r="K397" s="369"/>
      <c r="L397" s="371"/>
    </row>
    <row r="398" spans="1:12" x14ac:dyDescent="0.2">
      <c r="A398" s="359"/>
      <c r="B398" s="365" t="s">
        <v>81</v>
      </c>
      <c r="C398" s="214" t="s">
        <v>74</v>
      </c>
      <c r="D398" s="211"/>
      <c r="E398" s="13"/>
      <c r="F398" s="14"/>
      <c r="G398" s="56" t="s">
        <v>192</v>
      </c>
      <c r="H398" s="56" t="s">
        <v>192</v>
      </c>
      <c r="I398" s="221" t="s">
        <v>192</v>
      </c>
      <c r="K398" s="369"/>
      <c r="L398" s="371"/>
    </row>
    <row r="399" spans="1:12" x14ac:dyDescent="0.2">
      <c r="A399" s="359"/>
      <c r="B399" s="366"/>
      <c r="C399" s="215" t="s">
        <v>75</v>
      </c>
      <c r="D399" s="212"/>
      <c r="E399" s="15"/>
      <c r="F399" s="16"/>
      <c r="G399" s="56" t="s">
        <v>192</v>
      </c>
      <c r="H399" s="219" t="s">
        <v>192</v>
      </c>
      <c r="I399" s="56" t="s">
        <v>192</v>
      </c>
      <c r="K399" s="369"/>
      <c r="L399" s="371"/>
    </row>
    <row r="400" spans="1:12" ht="13.5" thickBot="1" x14ac:dyDescent="0.25">
      <c r="A400" s="360"/>
      <c r="B400" s="367"/>
      <c r="C400" s="216" t="s">
        <v>76</v>
      </c>
      <c r="D400" s="213"/>
      <c r="E400" s="17"/>
      <c r="F400" s="18"/>
      <c r="G400" s="209" t="s">
        <v>192</v>
      </c>
      <c r="H400" s="57" t="s">
        <v>192</v>
      </c>
      <c r="I400" s="57" t="s">
        <v>192</v>
      </c>
      <c r="K400" s="370"/>
      <c r="L400" s="372"/>
    </row>
    <row r="401" spans="1:12" ht="13.5" thickBot="1" x14ac:dyDescent="0.25"/>
    <row r="402" spans="1:12" ht="13.5" thickBot="1" x14ac:dyDescent="0.25">
      <c r="A402" s="3" t="s">
        <v>79</v>
      </c>
      <c r="B402" s="356" t="s">
        <v>82</v>
      </c>
      <c r="C402" s="357"/>
      <c r="D402" s="2" t="s">
        <v>74</v>
      </c>
      <c r="E402" s="2" t="s">
        <v>75</v>
      </c>
      <c r="F402" s="4" t="s">
        <v>76</v>
      </c>
      <c r="G402" s="2" t="s">
        <v>74</v>
      </c>
      <c r="H402" s="3" t="s">
        <v>75</v>
      </c>
      <c r="I402" s="4" t="s">
        <v>76</v>
      </c>
      <c r="K402" s="228" t="s">
        <v>20</v>
      </c>
      <c r="L402" s="3" t="s">
        <v>198</v>
      </c>
    </row>
    <row r="403" spans="1:12" ht="13.5" thickBot="1" x14ac:dyDescent="0.25">
      <c r="A403" s="358" t="str">
        <f t="shared" ref="A403" si="66">CONCATENATE(K403," - ",L403)</f>
        <v>WFM - JAVA: Geração de Stubs</v>
      </c>
      <c r="B403" s="361" t="s">
        <v>80</v>
      </c>
      <c r="C403" s="362"/>
      <c r="D403" s="217"/>
      <c r="E403" s="217"/>
      <c r="F403" s="218"/>
      <c r="G403" s="55" t="s">
        <v>192</v>
      </c>
      <c r="H403" s="220" t="s">
        <v>192</v>
      </c>
      <c r="I403" s="55" t="s">
        <v>192</v>
      </c>
      <c r="K403" s="368" t="s">
        <v>214</v>
      </c>
      <c r="L403" s="368" t="s">
        <v>209</v>
      </c>
    </row>
    <row r="404" spans="1:12" ht="13.5" thickBot="1" x14ac:dyDescent="0.25">
      <c r="A404" s="359"/>
      <c r="B404" s="363" t="s">
        <v>78</v>
      </c>
      <c r="C404" s="364"/>
      <c r="D404" s="210" t="s">
        <v>74</v>
      </c>
      <c r="E404" s="2" t="s">
        <v>75</v>
      </c>
      <c r="F404" s="4" t="s">
        <v>76</v>
      </c>
      <c r="G404" s="3" t="s">
        <v>74</v>
      </c>
      <c r="H404" s="3" t="s">
        <v>75</v>
      </c>
      <c r="I404" s="3" t="s">
        <v>76</v>
      </c>
      <c r="K404" s="369"/>
      <c r="L404" s="371"/>
    </row>
    <row r="405" spans="1:12" x14ac:dyDescent="0.2">
      <c r="A405" s="359"/>
      <c r="B405" s="365" t="s">
        <v>81</v>
      </c>
      <c r="C405" s="214" t="s">
        <v>74</v>
      </c>
      <c r="D405" s="211"/>
      <c r="E405" s="13"/>
      <c r="F405" s="14"/>
      <c r="G405" s="56" t="s">
        <v>192</v>
      </c>
      <c r="H405" s="56" t="s">
        <v>192</v>
      </c>
      <c r="I405" s="221" t="s">
        <v>192</v>
      </c>
      <c r="K405" s="369"/>
      <c r="L405" s="371"/>
    </row>
    <row r="406" spans="1:12" x14ac:dyDescent="0.2">
      <c r="A406" s="359"/>
      <c r="B406" s="366"/>
      <c r="C406" s="215" t="s">
        <v>75</v>
      </c>
      <c r="D406" s="212"/>
      <c r="E406" s="15"/>
      <c r="F406" s="16"/>
      <c r="G406" s="56" t="s">
        <v>192</v>
      </c>
      <c r="H406" s="219" t="s">
        <v>192</v>
      </c>
      <c r="I406" s="56" t="s">
        <v>192</v>
      </c>
      <c r="K406" s="369"/>
      <c r="L406" s="371"/>
    </row>
    <row r="407" spans="1:12" ht="13.5" thickBot="1" x14ac:dyDescent="0.25">
      <c r="A407" s="360"/>
      <c r="B407" s="367"/>
      <c r="C407" s="216" t="s">
        <v>76</v>
      </c>
      <c r="D407" s="213"/>
      <c r="E407" s="17"/>
      <c r="F407" s="18"/>
      <c r="G407" s="209" t="s">
        <v>192</v>
      </c>
      <c r="H407" s="57" t="s">
        <v>192</v>
      </c>
      <c r="I407" s="57" t="s">
        <v>192</v>
      </c>
      <c r="K407" s="370"/>
      <c r="L407" s="372"/>
    </row>
    <row r="408" spans="1:12" ht="13.5" thickBot="1" x14ac:dyDescent="0.25"/>
    <row r="409" spans="1:12" ht="13.5" thickBot="1" x14ac:dyDescent="0.25">
      <c r="A409" s="3" t="s">
        <v>79</v>
      </c>
      <c r="B409" s="356" t="s">
        <v>82</v>
      </c>
      <c r="C409" s="357"/>
      <c r="D409" s="2" t="s">
        <v>74</v>
      </c>
      <c r="E409" s="2" t="s">
        <v>75</v>
      </c>
      <c r="F409" s="4" t="s">
        <v>76</v>
      </c>
      <c r="G409" s="2" t="s">
        <v>74</v>
      </c>
      <c r="H409" s="3" t="s">
        <v>75</v>
      </c>
      <c r="I409" s="4" t="s">
        <v>76</v>
      </c>
      <c r="K409" s="228" t="s">
        <v>20</v>
      </c>
      <c r="L409" s="3" t="s">
        <v>198</v>
      </c>
    </row>
    <row r="410" spans="1:12" ht="13.5" thickBot="1" x14ac:dyDescent="0.25">
      <c r="A410" s="358" t="str">
        <f t="shared" ref="A410" si="67">CONCATENATE(K410," - ",L410)</f>
        <v>WFM - JSP</v>
      </c>
      <c r="B410" s="361" t="s">
        <v>80</v>
      </c>
      <c r="C410" s="362"/>
      <c r="D410" s="217"/>
      <c r="E410" s="217"/>
      <c r="F410" s="218"/>
      <c r="G410" s="55" t="s">
        <v>192</v>
      </c>
      <c r="H410" s="220" t="s">
        <v>192</v>
      </c>
      <c r="I410" s="55" t="s">
        <v>192</v>
      </c>
      <c r="K410" s="368" t="s">
        <v>214</v>
      </c>
      <c r="L410" s="368" t="s">
        <v>210</v>
      </c>
    </row>
    <row r="411" spans="1:12" ht="13.5" thickBot="1" x14ac:dyDescent="0.25">
      <c r="A411" s="359"/>
      <c r="B411" s="363" t="s">
        <v>78</v>
      </c>
      <c r="C411" s="364"/>
      <c r="D411" s="210" t="s">
        <v>74</v>
      </c>
      <c r="E411" s="2" t="s">
        <v>75</v>
      </c>
      <c r="F411" s="4" t="s">
        <v>76</v>
      </c>
      <c r="G411" s="3" t="s">
        <v>74</v>
      </c>
      <c r="H411" s="3" t="s">
        <v>75</v>
      </c>
      <c r="I411" s="3" t="s">
        <v>76</v>
      </c>
      <c r="K411" s="369"/>
      <c r="L411" s="371"/>
    </row>
    <row r="412" spans="1:12" x14ac:dyDescent="0.2">
      <c r="A412" s="359"/>
      <c r="B412" s="365" t="s">
        <v>81</v>
      </c>
      <c r="C412" s="214" t="s">
        <v>74</v>
      </c>
      <c r="D412" s="211"/>
      <c r="E412" s="13"/>
      <c r="F412" s="14"/>
      <c r="G412" s="56" t="s">
        <v>192</v>
      </c>
      <c r="H412" s="56" t="s">
        <v>192</v>
      </c>
      <c r="I412" s="221" t="s">
        <v>192</v>
      </c>
      <c r="K412" s="369"/>
      <c r="L412" s="371"/>
    </row>
    <row r="413" spans="1:12" x14ac:dyDescent="0.2">
      <c r="A413" s="359"/>
      <c r="B413" s="366"/>
      <c r="C413" s="215" t="s">
        <v>75</v>
      </c>
      <c r="D413" s="212"/>
      <c r="E413" s="15"/>
      <c r="F413" s="16"/>
      <c r="G413" s="56" t="s">
        <v>192</v>
      </c>
      <c r="H413" s="219" t="s">
        <v>192</v>
      </c>
      <c r="I413" s="56" t="s">
        <v>192</v>
      </c>
      <c r="K413" s="369"/>
      <c r="L413" s="371"/>
    </row>
    <row r="414" spans="1:12" ht="13.5" thickBot="1" x14ac:dyDescent="0.25">
      <c r="A414" s="360"/>
      <c r="B414" s="367"/>
      <c r="C414" s="216" t="s">
        <v>76</v>
      </c>
      <c r="D414" s="213"/>
      <c r="E414" s="17"/>
      <c r="F414" s="18"/>
      <c r="G414" s="209" t="s">
        <v>192</v>
      </c>
      <c r="H414" s="57" t="s">
        <v>192</v>
      </c>
      <c r="I414" s="57" t="s">
        <v>192</v>
      </c>
      <c r="K414" s="370"/>
      <c r="L414" s="372"/>
    </row>
    <row r="415" spans="1:12" ht="13.5" thickBot="1" x14ac:dyDescent="0.25"/>
    <row r="416" spans="1:12" ht="13.5" thickBot="1" x14ac:dyDescent="0.25">
      <c r="A416" s="3" t="s">
        <v>79</v>
      </c>
      <c r="B416" s="356" t="s">
        <v>82</v>
      </c>
      <c r="C416" s="357"/>
      <c r="D416" s="2" t="s">
        <v>74</v>
      </c>
      <c r="E416" s="2" t="s">
        <v>75</v>
      </c>
      <c r="F416" s="4" t="s">
        <v>76</v>
      </c>
      <c r="G416" s="2" t="s">
        <v>74</v>
      </c>
      <c r="H416" s="3" t="s">
        <v>75</v>
      </c>
      <c r="I416" s="4" t="s">
        <v>76</v>
      </c>
      <c r="K416" s="228" t="s">
        <v>20</v>
      </c>
      <c r="L416" s="3" t="s">
        <v>198</v>
      </c>
    </row>
    <row r="417" spans="1:12" ht="13.5" thickBot="1" x14ac:dyDescent="0.25">
      <c r="A417" s="358" t="str">
        <f t="shared" ref="A417" si="68">CONCATENATE(K417," - ",L417)</f>
        <v>WFM - Configuração de Projeto/Modulo</v>
      </c>
      <c r="B417" s="361" t="s">
        <v>80</v>
      </c>
      <c r="C417" s="362"/>
      <c r="D417" s="217"/>
      <c r="E417" s="217"/>
      <c r="F417" s="218"/>
      <c r="G417" s="55" t="s">
        <v>192</v>
      </c>
      <c r="H417" s="220" t="s">
        <v>192</v>
      </c>
      <c r="I417" s="55" t="s">
        <v>192</v>
      </c>
      <c r="K417" s="368" t="s">
        <v>214</v>
      </c>
      <c r="L417" s="368" t="s">
        <v>211</v>
      </c>
    </row>
    <row r="418" spans="1:12" ht="13.5" thickBot="1" x14ac:dyDescent="0.25">
      <c r="A418" s="359"/>
      <c r="B418" s="363" t="s">
        <v>78</v>
      </c>
      <c r="C418" s="364"/>
      <c r="D418" s="210" t="s">
        <v>74</v>
      </c>
      <c r="E418" s="2" t="s">
        <v>75</v>
      </c>
      <c r="F418" s="4" t="s">
        <v>76</v>
      </c>
      <c r="G418" s="3" t="s">
        <v>74</v>
      </c>
      <c r="H418" s="3" t="s">
        <v>75</v>
      </c>
      <c r="I418" s="3" t="s">
        <v>76</v>
      </c>
      <c r="K418" s="369"/>
      <c r="L418" s="371"/>
    </row>
    <row r="419" spans="1:12" x14ac:dyDescent="0.2">
      <c r="A419" s="359"/>
      <c r="B419" s="365" t="s">
        <v>81</v>
      </c>
      <c r="C419" s="214" t="s">
        <v>74</v>
      </c>
      <c r="D419" s="211"/>
      <c r="E419" s="13"/>
      <c r="F419" s="14"/>
      <c r="G419" s="56" t="s">
        <v>192</v>
      </c>
      <c r="H419" s="56" t="s">
        <v>192</v>
      </c>
      <c r="I419" s="221" t="s">
        <v>192</v>
      </c>
      <c r="K419" s="369"/>
      <c r="L419" s="371"/>
    </row>
    <row r="420" spans="1:12" x14ac:dyDescent="0.2">
      <c r="A420" s="359"/>
      <c r="B420" s="366"/>
      <c r="C420" s="215" t="s">
        <v>75</v>
      </c>
      <c r="D420" s="212"/>
      <c r="E420" s="15"/>
      <c r="F420" s="16"/>
      <c r="G420" s="56" t="s">
        <v>192</v>
      </c>
      <c r="H420" s="219" t="s">
        <v>192</v>
      </c>
      <c r="I420" s="56" t="s">
        <v>192</v>
      </c>
      <c r="K420" s="369"/>
      <c r="L420" s="371"/>
    </row>
    <row r="421" spans="1:12" ht="13.5" thickBot="1" x14ac:dyDescent="0.25">
      <c r="A421" s="360"/>
      <c r="B421" s="367"/>
      <c r="C421" s="216" t="s">
        <v>76</v>
      </c>
      <c r="D421" s="213"/>
      <c r="E421" s="17"/>
      <c r="F421" s="18"/>
      <c r="G421" s="209" t="s">
        <v>192</v>
      </c>
      <c r="H421" s="57" t="s">
        <v>192</v>
      </c>
      <c r="I421" s="57" t="s">
        <v>192</v>
      </c>
      <c r="K421" s="370"/>
      <c r="L421" s="372"/>
    </row>
    <row r="422" spans="1:12" ht="13.5" thickBot="1" x14ac:dyDescent="0.25"/>
    <row r="423" spans="1:12" ht="13.5" thickBot="1" x14ac:dyDescent="0.25">
      <c r="A423" s="3" t="s">
        <v>79</v>
      </c>
      <c r="B423" s="356" t="s">
        <v>82</v>
      </c>
      <c r="C423" s="357"/>
      <c r="D423" s="2" t="s">
        <v>74</v>
      </c>
      <c r="E423" s="2" t="s">
        <v>75</v>
      </c>
      <c r="F423" s="4" t="s">
        <v>76</v>
      </c>
      <c r="G423" s="2" t="s">
        <v>74</v>
      </c>
      <c r="H423" s="3" t="s">
        <v>75</v>
      </c>
      <c r="I423" s="4" t="s">
        <v>76</v>
      </c>
    </row>
    <row r="424" spans="1:12" ht="13.5" thickBot="1" x14ac:dyDescent="0.25">
      <c r="A424" s="358" t="str">
        <f t="shared" ref="A424" si="69">CONCATENATE(K424," - ",L424)</f>
        <v xml:space="preserve"> - </v>
      </c>
      <c r="B424" s="361" t="s">
        <v>80</v>
      </c>
      <c r="C424" s="362"/>
      <c r="D424" s="217"/>
      <c r="E424" s="217"/>
      <c r="F424" s="218"/>
      <c r="G424" s="55" t="s">
        <v>192</v>
      </c>
      <c r="H424" s="220" t="s">
        <v>192</v>
      </c>
      <c r="I424" s="55" t="s">
        <v>192</v>
      </c>
    </row>
    <row r="425" spans="1:12" ht="13.5" thickBot="1" x14ac:dyDescent="0.25">
      <c r="A425" s="359"/>
      <c r="B425" s="363" t="s">
        <v>78</v>
      </c>
      <c r="C425" s="364"/>
      <c r="D425" s="210" t="s">
        <v>74</v>
      </c>
      <c r="E425" s="2" t="s">
        <v>75</v>
      </c>
      <c r="F425" s="4" t="s">
        <v>76</v>
      </c>
      <c r="G425" s="3" t="s">
        <v>74</v>
      </c>
      <c r="H425" s="3" t="s">
        <v>75</v>
      </c>
      <c r="I425" s="3" t="s">
        <v>76</v>
      </c>
    </row>
    <row r="426" spans="1:12" x14ac:dyDescent="0.2">
      <c r="A426" s="359"/>
      <c r="B426" s="365" t="s">
        <v>81</v>
      </c>
      <c r="C426" s="214" t="s">
        <v>74</v>
      </c>
      <c r="D426" s="211"/>
      <c r="E426" s="13"/>
      <c r="F426" s="14"/>
      <c r="G426" s="56" t="s">
        <v>192</v>
      </c>
      <c r="H426" s="56" t="s">
        <v>192</v>
      </c>
      <c r="I426" s="221" t="s">
        <v>192</v>
      </c>
    </row>
    <row r="427" spans="1:12" x14ac:dyDescent="0.2">
      <c r="A427" s="359"/>
      <c r="B427" s="366"/>
      <c r="C427" s="215" t="s">
        <v>75</v>
      </c>
      <c r="D427" s="212"/>
      <c r="E427" s="15"/>
      <c r="F427" s="16"/>
      <c r="G427" s="56" t="s">
        <v>192</v>
      </c>
      <c r="H427" s="219" t="s">
        <v>192</v>
      </c>
      <c r="I427" s="56" t="s">
        <v>192</v>
      </c>
    </row>
    <row r="428" spans="1:12" ht="13.5" thickBot="1" x14ac:dyDescent="0.25">
      <c r="A428" s="360"/>
      <c r="B428" s="367"/>
      <c r="C428" s="216" t="s">
        <v>76</v>
      </c>
      <c r="D428" s="213"/>
      <c r="E428" s="17"/>
      <c r="F428" s="18"/>
      <c r="G428" s="209" t="s">
        <v>192</v>
      </c>
      <c r="H428" s="57" t="s">
        <v>192</v>
      </c>
      <c r="I428" s="57" t="s">
        <v>192</v>
      </c>
    </row>
    <row r="429" spans="1:12" ht="13.5" thickBot="1" x14ac:dyDescent="0.25"/>
    <row r="430" spans="1:12" ht="13.5" thickBot="1" x14ac:dyDescent="0.25">
      <c r="A430" s="3" t="s">
        <v>79</v>
      </c>
      <c r="B430" s="356" t="s">
        <v>82</v>
      </c>
      <c r="C430" s="357"/>
      <c r="D430" s="2" t="s">
        <v>74</v>
      </c>
      <c r="E430" s="2" t="s">
        <v>75</v>
      </c>
      <c r="F430" s="4" t="s">
        <v>76</v>
      </c>
      <c r="G430" s="2" t="s">
        <v>74</v>
      </c>
      <c r="H430" s="3" t="s">
        <v>75</v>
      </c>
      <c r="I430" s="4" t="s">
        <v>76</v>
      </c>
    </row>
    <row r="431" spans="1:12" ht="13.5" thickBot="1" x14ac:dyDescent="0.25">
      <c r="A431" s="358" t="str">
        <f t="shared" ref="A431" si="70">CONCATENATE(K431," - ",L431)</f>
        <v xml:space="preserve"> - </v>
      </c>
      <c r="B431" s="361" t="s">
        <v>80</v>
      </c>
      <c r="C431" s="362"/>
      <c r="D431" s="217"/>
      <c r="E431" s="217"/>
      <c r="F431" s="218"/>
      <c r="G431" s="55" t="s">
        <v>192</v>
      </c>
      <c r="H431" s="220" t="s">
        <v>192</v>
      </c>
      <c r="I431" s="55" t="s">
        <v>192</v>
      </c>
    </row>
    <row r="432" spans="1:12" ht="13.5" thickBot="1" x14ac:dyDescent="0.25">
      <c r="A432" s="359"/>
      <c r="B432" s="363" t="s">
        <v>78</v>
      </c>
      <c r="C432" s="364"/>
      <c r="D432" s="210" t="s">
        <v>74</v>
      </c>
      <c r="E432" s="2" t="s">
        <v>75</v>
      </c>
      <c r="F432" s="4" t="s">
        <v>76</v>
      </c>
      <c r="G432" s="3" t="s">
        <v>74</v>
      </c>
      <c r="H432" s="3" t="s">
        <v>75</v>
      </c>
      <c r="I432" s="3" t="s">
        <v>76</v>
      </c>
    </row>
    <row r="433" spans="1:9" x14ac:dyDescent="0.2">
      <c r="A433" s="359"/>
      <c r="B433" s="365" t="s">
        <v>81</v>
      </c>
      <c r="C433" s="214" t="s">
        <v>74</v>
      </c>
      <c r="D433" s="211"/>
      <c r="E433" s="13"/>
      <c r="F433" s="14"/>
      <c r="G433" s="56" t="s">
        <v>192</v>
      </c>
      <c r="H433" s="56" t="s">
        <v>192</v>
      </c>
      <c r="I433" s="221" t="s">
        <v>192</v>
      </c>
    </row>
    <row r="434" spans="1:9" x14ac:dyDescent="0.2">
      <c r="A434" s="359"/>
      <c r="B434" s="366"/>
      <c r="C434" s="215" t="s">
        <v>75</v>
      </c>
      <c r="D434" s="212"/>
      <c r="E434" s="15"/>
      <c r="F434" s="16"/>
      <c r="G434" s="56" t="s">
        <v>192</v>
      </c>
      <c r="H434" s="219" t="s">
        <v>192</v>
      </c>
      <c r="I434" s="56" t="s">
        <v>192</v>
      </c>
    </row>
    <row r="435" spans="1:9" ht="13.5" thickBot="1" x14ac:dyDescent="0.25">
      <c r="A435" s="360"/>
      <c r="B435" s="367"/>
      <c r="C435" s="216" t="s">
        <v>76</v>
      </c>
      <c r="D435" s="213"/>
      <c r="E435" s="17"/>
      <c r="F435" s="18"/>
      <c r="G435" s="209" t="s">
        <v>192</v>
      </c>
      <c r="H435" s="57" t="s">
        <v>192</v>
      </c>
      <c r="I435" s="57" t="s">
        <v>192</v>
      </c>
    </row>
    <row r="436" spans="1:9" ht="13.5" thickBot="1" x14ac:dyDescent="0.25"/>
    <row r="437" spans="1:9" ht="13.5" thickBot="1" x14ac:dyDescent="0.25">
      <c r="A437" s="3" t="s">
        <v>79</v>
      </c>
      <c r="B437" s="356" t="s">
        <v>82</v>
      </c>
      <c r="C437" s="357"/>
      <c r="D437" s="2" t="s">
        <v>74</v>
      </c>
      <c r="E437" s="2" t="s">
        <v>75</v>
      </c>
      <c r="F437" s="4" t="s">
        <v>76</v>
      </c>
      <c r="G437" s="2" t="s">
        <v>74</v>
      </c>
      <c r="H437" s="3" t="s">
        <v>75</v>
      </c>
      <c r="I437" s="4" t="s">
        <v>76</v>
      </c>
    </row>
    <row r="438" spans="1:9" ht="13.5" thickBot="1" x14ac:dyDescent="0.25">
      <c r="A438" s="358" t="str">
        <f t="shared" ref="A438" si="71">CONCATENATE(K438," - ",L438)</f>
        <v xml:space="preserve"> - </v>
      </c>
      <c r="B438" s="361" t="s">
        <v>80</v>
      </c>
      <c r="C438" s="362"/>
      <c r="D438" s="217"/>
      <c r="E438" s="217"/>
      <c r="F438" s="218"/>
      <c r="G438" s="55" t="s">
        <v>192</v>
      </c>
      <c r="H438" s="220" t="s">
        <v>192</v>
      </c>
      <c r="I438" s="55" t="s">
        <v>192</v>
      </c>
    </row>
    <row r="439" spans="1:9" ht="13.5" thickBot="1" x14ac:dyDescent="0.25">
      <c r="A439" s="359"/>
      <c r="B439" s="363" t="s">
        <v>78</v>
      </c>
      <c r="C439" s="364"/>
      <c r="D439" s="210" t="s">
        <v>74</v>
      </c>
      <c r="E439" s="2" t="s">
        <v>75</v>
      </c>
      <c r="F439" s="4" t="s">
        <v>76</v>
      </c>
      <c r="G439" s="3" t="s">
        <v>74</v>
      </c>
      <c r="H439" s="3" t="s">
        <v>75</v>
      </c>
      <c r="I439" s="3" t="s">
        <v>76</v>
      </c>
    </row>
    <row r="440" spans="1:9" x14ac:dyDescent="0.2">
      <c r="A440" s="359"/>
      <c r="B440" s="365" t="s">
        <v>81</v>
      </c>
      <c r="C440" s="214" t="s">
        <v>74</v>
      </c>
      <c r="D440" s="211"/>
      <c r="E440" s="13"/>
      <c r="F440" s="14"/>
      <c r="G440" s="56" t="s">
        <v>192</v>
      </c>
      <c r="H440" s="56" t="s">
        <v>192</v>
      </c>
      <c r="I440" s="221" t="s">
        <v>192</v>
      </c>
    </row>
    <row r="441" spans="1:9" x14ac:dyDescent="0.2">
      <c r="A441" s="359"/>
      <c r="B441" s="366"/>
      <c r="C441" s="215" t="s">
        <v>75</v>
      </c>
      <c r="D441" s="212"/>
      <c r="E441" s="15"/>
      <c r="F441" s="16"/>
      <c r="G441" s="56" t="s">
        <v>192</v>
      </c>
      <c r="H441" s="219" t="s">
        <v>192</v>
      </c>
      <c r="I441" s="56" t="s">
        <v>192</v>
      </c>
    </row>
    <row r="442" spans="1:9" ht="13.5" thickBot="1" x14ac:dyDescent="0.25">
      <c r="A442" s="360"/>
      <c r="B442" s="367"/>
      <c r="C442" s="216" t="s">
        <v>76</v>
      </c>
      <c r="D442" s="213"/>
      <c r="E442" s="17"/>
      <c r="F442" s="18"/>
      <c r="G442" s="209" t="s">
        <v>192</v>
      </c>
      <c r="H442" s="57" t="s">
        <v>192</v>
      </c>
      <c r="I442" s="57" t="s">
        <v>192</v>
      </c>
    </row>
    <row r="443" spans="1:9" ht="13.5" thickBot="1" x14ac:dyDescent="0.25"/>
    <row r="444" spans="1:9" ht="13.5" thickBot="1" x14ac:dyDescent="0.25">
      <c r="A444" s="3" t="s">
        <v>79</v>
      </c>
      <c r="B444" s="356" t="s">
        <v>82</v>
      </c>
      <c r="C444" s="357"/>
      <c r="D444" s="2" t="s">
        <v>74</v>
      </c>
      <c r="E444" s="2" t="s">
        <v>75</v>
      </c>
      <c r="F444" s="4" t="s">
        <v>76</v>
      </c>
      <c r="G444" s="2" t="s">
        <v>74</v>
      </c>
      <c r="H444" s="3" t="s">
        <v>75</v>
      </c>
      <c r="I444" s="4" t="s">
        <v>76</v>
      </c>
    </row>
    <row r="445" spans="1:9" ht="13.5" thickBot="1" x14ac:dyDescent="0.25">
      <c r="A445" s="358" t="str">
        <f t="shared" ref="A445" si="72">CONCATENATE(K445," - ",L445)</f>
        <v xml:space="preserve"> - </v>
      </c>
      <c r="B445" s="361" t="s">
        <v>80</v>
      </c>
      <c r="C445" s="362"/>
      <c r="D445" s="217"/>
      <c r="E445" s="217"/>
      <c r="F445" s="218"/>
      <c r="G445" s="55" t="s">
        <v>192</v>
      </c>
      <c r="H445" s="220" t="s">
        <v>192</v>
      </c>
      <c r="I445" s="55" t="s">
        <v>192</v>
      </c>
    </row>
    <row r="446" spans="1:9" ht="13.5" thickBot="1" x14ac:dyDescent="0.25">
      <c r="A446" s="359"/>
      <c r="B446" s="363" t="s">
        <v>78</v>
      </c>
      <c r="C446" s="364"/>
      <c r="D446" s="210" t="s">
        <v>74</v>
      </c>
      <c r="E446" s="2" t="s">
        <v>75</v>
      </c>
      <c r="F446" s="4" t="s">
        <v>76</v>
      </c>
      <c r="G446" s="3" t="s">
        <v>74</v>
      </c>
      <c r="H446" s="3" t="s">
        <v>75</v>
      </c>
      <c r="I446" s="3" t="s">
        <v>76</v>
      </c>
    </row>
    <row r="447" spans="1:9" x14ac:dyDescent="0.2">
      <c r="A447" s="359"/>
      <c r="B447" s="365" t="s">
        <v>81</v>
      </c>
      <c r="C447" s="214" t="s">
        <v>74</v>
      </c>
      <c r="D447" s="211"/>
      <c r="E447" s="13"/>
      <c r="F447" s="14"/>
      <c r="G447" s="56" t="s">
        <v>192</v>
      </c>
      <c r="H447" s="56" t="s">
        <v>192</v>
      </c>
      <c r="I447" s="221" t="s">
        <v>192</v>
      </c>
    </row>
    <row r="448" spans="1:9" x14ac:dyDescent="0.2">
      <c r="A448" s="359"/>
      <c r="B448" s="366"/>
      <c r="C448" s="215" t="s">
        <v>75</v>
      </c>
      <c r="D448" s="212"/>
      <c r="E448" s="15"/>
      <c r="F448" s="16"/>
      <c r="G448" s="56" t="s">
        <v>192</v>
      </c>
      <c r="H448" s="219" t="s">
        <v>192</v>
      </c>
      <c r="I448" s="56" t="s">
        <v>192</v>
      </c>
    </row>
    <row r="449" spans="1:9" ht="13.5" thickBot="1" x14ac:dyDescent="0.25">
      <c r="A449" s="360"/>
      <c r="B449" s="367"/>
      <c r="C449" s="216" t="s">
        <v>76</v>
      </c>
      <c r="D449" s="213"/>
      <c r="E449" s="17"/>
      <c r="F449" s="18"/>
      <c r="G449" s="209" t="s">
        <v>192</v>
      </c>
      <c r="H449" s="57" t="s">
        <v>192</v>
      </c>
      <c r="I449" s="57" t="s">
        <v>192</v>
      </c>
    </row>
    <row r="450" spans="1:9" ht="13.5" thickBot="1" x14ac:dyDescent="0.25"/>
    <row r="451" spans="1:9" ht="13.5" thickBot="1" x14ac:dyDescent="0.25">
      <c r="A451" s="3" t="s">
        <v>79</v>
      </c>
      <c r="B451" s="356" t="s">
        <v>82</v>
      </c>
      <c r="C451" s="357"/>
      <c r="D451" s="2" t="s">
        <v>74</v>
      </c>
      <c r="E451" s="2" t="s">
        <v>75</v>
      </c>
      <c r="F451" s="4" t="s">
        <v>76</v>
      </c>
      <c r="G451" s="2" t="s">
        <v>74</v>
      </c>
      <c r="H451" s="3" t="s">
        <v>75</v>
      </c>
      <c r="I451" s="4" t="s">
        <v>76</v>
      </c>
    </row>
    <row r="452" spans="1:9" ht="13.5" thickBot="1" x14ac:dyDescent="0.25">
      <c r="A452" s="358" t="str">
        <f t="shared" ref="A452" si="73">CONCATENATE(K452," - ",L452)</f>
        <v xml:space="preserve"> - </v>
      </c>
      <c r="B452" s="361" t="s">
        <v>80</v>
      </c>
      <c r="C452" s="362"/>
      <c r="D452" s="217"/>
      <c r="E452" s="217"/>
      <c r="F452" s="218"/>
      <c r="G452" s="55" t="s">
        <v>192</v>
      </c>
      <c r="H452" s="220" t="s">
        <v>192</v>
      </c>
      <c r="I452" s="55" t="s">
        <v>192</v>
      </c>
    </row>
    <row r="453" spans="1:9" ht="13.5" thickBot="1" x14ac:dyDescent="0.25">
      <c r="A453" s="359"/>
      <c r="B453" s="363" t="s">
        <v>78</v>
      </c>
      <c r="C453" s="364"/>
      <c r="D453" s="210" t="s">
        <v>74</v>
      </c>
      <c r="E453" s="2" t="s">
        <v>75</v>
      </c>
      <c r="F453" s="4" t="s">
        <v>76</v>
      </c>
      <c r="G453" s="3" t="s">
        <v>74</v>
      </c>
      <c r="H453" s="3" t="s">
        <v>75</v>
      </c>
      <c r="I453" s="3" t="s">
        <v>76</v>
      </c>
    </row>
    <row r="454" spans="1:9" x14ac:dyDescent="0.2">
      <c r="A454" s="359"/>
      <c r="B454" s="365" t="s">
        <v>81</v>
      </c>
      <c r="C454" s="214" t="s">
        <v>74</v>
      </c>
      <c r="D454" s="211"/>
      <c r="E454" s="13"/>
      <c r="F454" s="14"/>
      <c r="G454" s="56" t="s">
        <v>192</v>
      </c>
      <c r="H454" s="56" t="s">
        <v>192</v>
      </c>
      <c r="I454" s="221" t="s">
        <v>192</v>
      </c>
    </row>
    <row r="455" spans="1:9" x14ac:dyDescent="0.2">
      <c r="A455" s="359"/>
      <c r="B455" s="366"/>
      <c r="C455" s="215" t="s">
        <v>75</v>
      </c>
      <c r="D455" s="212"/>
      <c r="E455" s="15"/>
      <c r="F455" s="16"/>
      <c r="G455" s="56" t="s">
        <v>192</v>
      </c>
      <c r="H455" s="219" t="s">
        <v>192</v>
      </c>
      <c r="I455" s="56" t="s">
        <v>192</v>
      </c>
    </row>
    <row r="456" spans="1:9" ht="13.5" thickBot="1" x14ac:dyDescent="0.25">
      <c r="A456" s="360"/>
      <c r="B456" s="367"/>
      <c r="C456" s="216" t="s">
        <v>76</v>
      </c>
      <c r="D456" s="213"/>
      <c r="E456" s="17"/>
      <c r="F456" s="18"/>
      <c r="G456" s="209" t="s">
        <v>192</v>
      </c>
      <c r="H456" s="57" t="s">
        <v>192</v>
      </c>
      <c r="I456" s="57" t="s">
        <v>192</v>
      </c>
    </row>
    <row r="457" spans="1:9" ht="13.5" thickBot="1" x14ac:dyDescent="0.25"/>
    <row r="458" spans="1:9" ht="13.5" thickBot="1" x14ac:dyDescent="0.25">
      <c r="A458" s="3" t="s">
        <v>79</v>
      </c>
      <c r="B458" s="356" t="s">
        <v>82</v>
      </c>
      <c r="C458" s="357"/>
      <c r="D458" s="2" t="s">
        <v>74</v>
      </c>
      <c r="E458" s="2" t="s">
        <v>75</v>
      </c>
      <c r="F458" s="4" t="s">
        <v>76</v>
      </c>
      <c r="G458" s="2" t="s">
        <v>74</v>
      </c>
      <c r="H458" s="3" t="s">
        <v>75</v>
      </c>
      <c r="I458" s="4" t="s">
        <v>76</v>
      </c>
    </row>
    <row r="459" spans="1:9" ht="13.5" thickBot="1" x14ac:dyDescent="0.25">
      <c r="A459" s="358" t="str">
        <f t="shared" ref="A459" si="74">CONCATENATE(K459," - ",L459)</f>
        <v xml:space="preserve"> - </v>
      </c>
      <c r="B459" s="361" t="s">
        <v>80</v>
      </c>
      <c r="C459" s="362"/>
      <c r="D459" s="217"/>
      <c r="E459" s="217"/>
      <c r="F459" s="218"/>
      <c r="G459" s="55" t="s">
        <v>192</v>
      </c>
      <c r="H459" s="220" t="s">
        <v>192</v>
      </c>
      <c r="I459" s="55" t="s">
        <v>192</v>
      </c>
    </row>
    <row r="460" spans="1:9" ht="13.5" thickBot="1" x14ac:dyDescent="0.25">
      <c r="A460" s="359"/>
      <c r="B460" s="363" t="s">
        <v>78</v>
      </c>
      <c r="C460" s="364"/>
      <c r="D460" s="210" t="s">
        <v>74</v>
      </c>
      <c r="E460" s="2" t="s">
        <v>75</v>
      </c>
      <c r="F460" s="4" t="s">
        <v>76</v>
      </c>
      <c r="G460" s="3" t="s">
        <v>74</v>
      </c>
      <c r="H460" s="3" t="s">
        <v>75</v>
      </c>
      <c r="I460" s="3" t="s">
        <v>76</v>
      </c>
    </row>
    <row r="461" spans="1:9" x14ac:dyDescent="0.2">
      <c r="A461" s="359"/>
      <c r="B461" s="365" t="s">
        <v>81</v>
      </c>
      <c r="C461" s="214" t="s">
        <v>74</v>
      </c>
      <c r="D461" s="211"/>
      <c r="E461" s="13"/>
      <c r="F461" s="14"/>
      <c r="G461" s="56" t="s">
        <v>192</v>
      </c>
      <c r="H461" s="56" t="s">
        <v>192</v>
      </c>
      <c r="I461" s="221" t="s">
        <v>192</v>
      </c>
    </row>
    <row r="462" spans="1:9" x14ac:dyDescent="0.2">
      <c r="A462" s="359"/>
      <c r="B462" s="366"/>
      <c r="C462" s="215" t="s">
        <v>75</v>
      </c>
      <c r="D462" s="212"/>
      <c r="E462" s="15"/>
      <c r="F462" s="16"/>
      <c r="G462" s="56" t="s">
        <v>192</v>
      </c>
      <c r="H462" s="219" t="s">
        <v>192</v>
      </c>
      <c r="I462" s="56" t="s">
        <v>192</v>
      </c>
    </row>
    <row r="463" spans="1:9" ht="13.5" thickBot="1" x14ac:dyDescent="0.25">
      <c r="A463" s="360"/>
      <c r="B463" s="367"/>
      <c r="C463" s="216" t="s">
        <v>76</v>
      </c>
      <c r="D463" s="213"/>
      <c r="E463" s="17"/>
      <c r="F463" s="18"/>
      <c r="G463" s="209" t="s">
        <v>192</v>
      </c>
      <c r="H463" s="57" t="s">
        <v>192</v>
      </c>
      <c r="I463" s="57" t="s">
        <v>192</v>
      </c>
    </row>
    <row r="464" spans="1:9" ht="13.5" thickBot="1" x14ac:dyDescent="0.25"/>
    <row r="465" spans="1:9" ht="13.5" thickBot="1" x14ac:dyDescent="0.25">
      <c r="A465" s="3" t="s">
        <v>79</v>
      </c>
      <c r="B465" s="356" t="s">
        <v>82</v>
      </c>
      <c r="C465" s="357"/>
      <c r="D465" s="2" t="s">
        <v>74</v>
      </c>
      <c r="E465" s="2" t="s">
        <v>75</v>
      </c>
      <c r="F465" s="4" t="s">
        <v>76</v>
      </c>
      <c r="G465" s="2" t="s">
        <v>74</v>
      </c>
      <c r="H465" s="3" t="s">
        <v>75</v>
      </c>
      <c r="I465" s="4" t="s">
        <v>76</v>
      </c>
    </row>
    <row r="466" spans="1:9" ht="13.5" thickBot="1" x14ac:dyDescent="0.25">
      <c r="A466" s="358" t="str">
        <f t="shared" ref="A466" si="75">CONCATENATE(K466," - ",L466)</f>
        <v xml:space="preserve"> - </v>
      </c>
      <c r="B466" s="361" t="s">
        <v>80</v>
      </c>
      <c r="C466" s="362"/>
      <c r="D466" s="217"/>
      <c r="E466" s="217"/>
      <c r="F466" s="218"/>
      <c r="G466" s="55" t="s">
        <v>192</v>
      </c>
      <c r="H466" s="220" t="s">
        <v>192</v>
      </c>
      <c r="I466" s="55" t="s">
        <v>192</v>
      </c>
    </row>
    <row r="467" spans="1:9" ht="13.5" thickBot="1" x14ac:dyDescent="0.25">
      <c r="A467" s="359"/>
      <c r="B467" s="363" t="s">
        <v>78</v>
      </c>
      <c r="C467" s="364"/>
      <c r="D467" s="210" t="s">
        <v>74</v>
      </c>
      <c r="E467" s="2" t="s">
        <v>75</v>
      </c>
      <c r="F467" s="4" t="s">
        <v>76</v>
      </c>
      <c r="G467" s="3" t="s">
        <v>74</v>
      </c>
      <c r="H467" s="3" t="s">
        <v>75</v>
      </c>
      <c r="I467" s="3" t="s">
        <v>76</v>
      </c>
    </row>
    <row r="468" spans="1:9" x14ac:dyDescent="0.2">
      <c r="A468" s="359"/>
      <c r="B468" s="365" t="s">
        <v>81</v>
      </c>
      <c r="C468" s="214" t="s">
        <v>74</v>
      </c>
      <c r="D468" s="211"/>
      <c r="E468" s="13"/>
      <c r="F468" s="14"/>
      <c r="G468" s="56" t="s">
        <v>192</v>
      </c>
      <c r="H468" s="56" t="s">
        <v>192</v>
      </c>
      <c r="I468" s="221" t="s">
        <v>192</v>
      </c>
    </row>
    <row r="469" spans="1:9" x14ac:dyDescent="0.2">
      <c r="A469" s="359"/>
      <c r="B469" s="366"/>
      <c r="C469" s="215" t="s">
        <v>75</v>
      </c>
      <c r="D469" s="212"/>
      <c r="E469" s="15"/>
      <c r="F469" s="16"/>
      <c r="G469" s="56" t="s">
        <v>192</v>
      </c>
      <c r="H469" s="219" t="s">
        <v>192</v>
      </c>
      <c r="I469" s="56" t="s">
        <v>192</v>
      </c>
    </row>
    <row r="470" spans="1:9" ht="13.5" thickBot="1" x14ac:dyDescent="0.25">
      <c r="A470" s="360"/>
      <c r="B470" s="367"/>
      <c r="C470" s="216" t="s">
        <v>76</v>
      </c>
      <c r="D470" s="213"/>
      <c r="E470" s="17"/>
      <c r="F470" s="18"/>
      <c r="G470" s="209" t="s">
        <v>192</v>
      </c>
      <c r="H470" s="57" t="s">
        <v>192</v>
      </c>
      <c r="I470" s="57" t="s">
        <v>192</v>
      </c>
    </row>
    <row r="471" spans="1:9" ht="13.5" thickBot="1" x14ac:dyDescent="0.25"/>
    <row r="472" spans="1:9" ht="13.5" thickBot="1" x14ac:dyDescent="0.25">
      <c r="A472" s="3" t="s">
        <v>79</v>
      </c>
      <c r="B472" s="356" t="s">
        <v>82</v>
      </c>
      <c r="C472" s="357"/>
      <c r="D472" s="2" t="s">
        <v>74</v>
      </c>
      <c r="E472" s="2" t="s">
        <v>75</v>
      </c>
      <c r="F472" s="4" t="s">
        <v>76</v>
      </c>
      <c r="G472" s="2" t="s">
        <v>74</v>
      </c>
      <c r="H472" s="3" t="s">
        <v>75</v>
      </c>
      <c r="I472" s="4" t="s">
        <v>76</v>
      </c>
    </row>
    <row r="473" spans="1:9" ht="13.5" thickBot="1" x14ac:dyDescent="0.25">
      <c r="A473" s="358" t="str">
        <f t="shared" ref="A473" si="76">CONCATENATE(K473," - ",L473)</f>
        <v xml:space="preserve"> - </v>
      </c>
      <c r="B473" s="361" t="s">
        <v>80</v>
      </c>
      <c r="C473" s="362"/>
      <c r="D473" s="217"/>
      <c r="E473" s="217"/>
      <c r="F473" s="218"/>
      <c r="G473" s="55" t="s">
        <v>192</v>
      </c>
      <c r="H473" s="220" t="s">
        <v>192</v>
      </c>
      <c r="I473" s="55" t="s">
        <v>192</v>
      </c>
    </row>
    <row r="474" spans="1:9" ht="13.5" thickBot="1" x14ac:dyDescent="0.25">
      <c r="A474" s="359"/>
      <c r="B474" s="363" t="s">
        <v>78</v>
      </c>
      <c r="C474" s="364"/>
      <c r="D474" s="210" t="s">
        <v>74</v>
      </c>
      <c r="E474" s="2" t="s">
        <v>75</v>
      </c>
      <c r="F474" s="4" t="s">
        <v>76</v>
      </c>
      <c r="G474" s="3" t="s">
        <v>74</v>
      </c>
      <c r="H474" s="3" t="s">
        <v>75</v>
      </c>
      <c r="I474" s="3" t="s">
        <v>76</v>
      </c>
    </row>
    <row r="475" spans="1:9" x14ac:dyDescent="0.2">
      <c r="A475" s="359"/>
      <c r="B475" s="365" t="s">
        <v>81</v>
      </c>
      <c r="C475" s="214" t="s">
        <v>74</v>
      </c>
      <c r="D475" s="211"/>
      <c r="E475" s="13"/>
      <c r="F475" s="14"/>
      <c r="G475" s="56" t="s">
        <v>192</v>
      </c>
      <c r="H475" s="56" t="s">
        <v>192</v>
      </c>
      <c r="I475" s="221" t="s">
        <v>192</v>
      </c>
    </row>
    <row r="476" spans="1:9" x14ac:dyDescent="0.2">
      <c r="A476" s="359"/>
      <c r="B476" s="366"/>
      <c r="C476" s="215" t="s">
        <v>75</v>
      </c>
      <c r="D476" s="212"/>
      <c r="E476" s="15"/>
      <c r="F476" s="16"/>
      <c r="G476" s="56" t="s">
        <v>192</v>
      </c>
      <c r="H476" s="219" t="s">
        <v>192</v>
      </c>
      <c r="I476" s="56" t="s">
        <v>192</v>
      </c>
    </row>
    <row r="477" spans="1:9" ht="13.5" thickBot="1" x14ac:dyDescent="0.25">
      <c r="A477" s="360"/>
      <c r="B477" s="367"/>
      <c r="C477" s="216" t="s">
        <v>76</v>
      </c>
      <c r="D477" s="213"/>
      <c r="E477" s="17"/>
      <c r="F477" s="18"/>
      <c r="G477" s="209" t="s">
        <v>192</v>
      </c>
      <c r="H477" s="57" t="s">
        <v>192</v>
      </c>
      <c r="I477" s="57" t="s">
        <v>192</v>
      </c>
    </row>
    <row r="478" spans="1:9" ht="13.5" thickBot="1" x14ac:dyDescent="0.25"/>
    <row r="479" spans="1:9" ht="13.5" thickBot="1" x14ac:dyDescent="0.25">
      <c r="A479" s="3" t="s">
        <v>79</v>
      </c>
      <c r="B479" s="356" t="s">
        <v>82</v>
      </c>
      <c r="C479" s="357"/>
      <c r="D479" s="2" t="s">
        <v>74</v>
      </c>
      <c r="E479" s="2" t="s">
        <v>75</v>
      </c>
      <c r="F479" s="4" t="s">
        <v>76</v>
      </c>
      <c r="G479" s="2" t="s">
        <v>74</v>
      </c>
      <c r="H479" s="3" t="s">
        <v>75</v>
      </c>
      <c r="I479" s="4" t="s">
        <v>76</v>
      </c>
    </row>
    <row r="480" spans="1:9" ht="13.5" thickBot="1" x14ac:dyDescent="0.25">
      <c r="A480" s="358" t="str">
        <f t="shared" ref="A480" si="77">CONCATENATE(K480," - ",L480)</f>
        <v xml:space="preserve"> - </v>
      </c>
      <c r="B480" s="361" t="s">
        <v>80</v>
      </c>
      <c r="C480" s="362"/>
      <c r="D480" s="217"/>
      <c r="E480" s="217"/>
      <c r="F480" s="218"/>
      <c r="G480" s="55" t="s">
        <v>192</v>
      </c>
      <c r="H480" s="220" t="s">
        <v>192</v>
      </c>
      <c r="I480" s="55" t="s">
        <v>192</v>
      </c>
    </row>
    <row r="481" spans="1:9" ht="13.5" thickBot="1" x14ac:dyDescent="0.25">
      <c r="A481" s="359"/>
      <c r="B481" s="363" t="s">
        <v>78</v>
      </c>
      <c r="C481" s="364"/>
      <c r="D481" s="210" t="s">
        <v>74</v>
      </c>
      <c r="E481" s="2" t="s">
        <v>75</v>
      </c>
      <c r="F481" s="4" t="s">
        <v>76</v>
      </c>
      <c r="G481" s="3" t="s">
        <v>74</v>
      </c>
      <c r="H481" s="3" t="s">
        <v>75</v>
      </c>
      <c r="I481" s="3" t="s">
        <v>76</v>
      </c>
    </row>
    <row r="482" spans="1:9" x14ac:dyDescent="0.2">
      <c r="A482" s="359"/>
      <c r="B482" s="365" t="s">
        <v>81</v>
      </c>
      <c r="C482" s="214" t="s">
        <v>74</v>
      </c>
      <c r="D482" s="211"/>
      <c r="E482" s="13"/>
      <c r="F482" s="14"/>
      <c r="G482" s="56" t="s">
        <v>192</v>
      </c>
      <c r="H482" s="56" t="s">
        <v>192</v>
      </c>
      <c r="I482" s="221" t="s">
        <v>192</v>
      </c>
    </row>
    <row r="483" spans="1:9" x14ac:dyDescent="0.2">
      <c r="A483" s="359"/>
      <c r="B483" s="366"/>
      <c r="C483" s="215" t="s">
        <v>75</v>
      </c>
      <c r="D483" s="212"/>
      <c r="E483" s="15"/>
      <c r="F483" s="16"/>
      <c r="G483" s="56" t="s">
        <v>192</v>
      </c>
      <c r="H483" s="219" t="s">
        <v>192</v>
      </c>
      <c r="I483" s="56" t="s">
        <v>192</v>
      </c>
    </row>
    <row r="484" spans="1:9" ht="13.5" thickBot="1" x14ac:dyDescent="0.25">
      <c r="A484" s="360"/>
      <c r="B484" s="367"/>
      <c r="C484" s="216" t="s">
        <v>76</v>
      </c>
      <c r="D484" s="213"/>
      <c r="E484" s="17"/>
      <c r="F484" s="18"/>
      <c r="G484" s="209" t="s">
        <v>192</v>
      </c>
      <c r="H484" s="57" t="s">
        <v>192</v>
      </c>
      <c r="I484" s="57" t="s">
        <v>192</v>
      </c>
    </row>
    <row r="485" spans="1:9" ht="13.5" thickBot="1" x14ac:dyDescent="0.25"/>
    <row r="486" spans="1:9" ht="13.5" thickBot="1" x14ac:dyDescent="0.25">
      <c r="A486" s="3" t="s">
        <v>79</v>
      </c>
      <c r="B486" s="356" t="s">
        <v>82</v>
      </c>
      <c r="C486" s="357"/>
      <c r="D486" s="2" t="s">
        <v>74</v>
      </c>
      <c r="E486" s="2" t="s">
        <v>75</v>
      </c>
      <c r="F486" s="4" t="s">
        <v>76</v>
      </c>
      <c r="G486" s="2" t="s">
        <v>74</v>
      </c>
      <c r="H486" s="3" t="s">
        <v>75</v>
      </c>
      <c r="I486" s="4" t="s">
        <v>76</v>
      </c>
    </row>
    <row r="487" spans="1:9" ht="13.5" thickBot="1" x14ac:dyDescent="0.25">
      <c r="A487" s="358" t="str">
        <f t="shared" ref="A487" si="78">CONCATENATE(K487," - ",L487)</f>
        <v xml:space="preserve"> - </v>
      </c>
      <c r="B487" s="361" t="s">
        <v>80</v>
      </c>
      <c r="C487" s="362"/>
      <c r="D487" s="217"/>
      <c r="E487" s="217"/>
      <c r="F487" s="218"/>
      <c r="G487" s="55" t="s">
        <v>192</v>
      </c>
      <c r="H487" s="220" t="s">
        <v>192</v>
      </c>
      <c r="I487" s="55" t="s">
        <v>192</v>
      </c>
    </row>
    <row r="488" spans="1:9" ht="13.5" thickBot="1" x14ac:dyDescent="0.25">
      <c r="A488" s="359"/>
      <c r="B488" s="363" t="s">
        <v>78</v>
      </c>
      <c r="C488" s="364"/>
      <c r="D488" s="210" t="s">
        <v>74</v>
      </c>
      <c r="E488" s="2" t="s">
        <v>75</v>
      </c>
      <c r="F488" s="4" t="s">
        <v>76</v>
      </c>
      <c r="G488" s="3" t="s">
        <v>74</v>
      </c>
      <c r="H488" s="3" t="s">
        <v>75</v>
      </c>
      <c r="I488" s="3" t="s">
        <v>76</v>
      </c>
    </row>
    <row r="489" spans="1:9" x14ac:dyDescent="0.2">
      <c r="A489" s="359"/>
      <c r="B489" s="365" t="s">
        <v>81</v>
      </c>
      <c r="C489" s="214" t="s">
        <v>74</v>
      </c>
      <c r="D489" s="211"/>
      <c r="E489" s="13"/>
      <c r="F489" s="14"/>
      <c r="G489" s="56" t="s">
        <v>192</v>
      </c>
      <c r="H489" s="56" t="s">
        <v>192</v>
      </c>
      <c r="I489" s="221" t="s">
        <v>192</v>
      </c>
    </row>
    <row r="490" spans="1:9" x14ac:dyDescent="0.2">
      <c r="A490" s="359"/>
      <c r="B490" s="366"/>
      <c r="C490" s="215" t="s">
        <v>75</v>
      </c>
      <c r="D490" s="212"/>
      <c r="E490" s="15"/>
      <c r="F490" s="16"/>
      <c r="G490" s="56" t="s">
        <v>192</v>
      </c>
      <c r="H490" s="219" t="s">
        <v>192</v>
      </c>
      <c r="I490" s="56" t="s">
        <v>192</v>
      </c>
    </row>
    <row r="491" spans="1:9" ht="13.5" thickBot="1" x14ac:dyDescent="0.25">
      <c r="A491" s="360"/>
      <c r="B491" s="367"/>
      <c r="C491" s="216" t="s">
        <v>76</v>
      </c>
      <c r="D491" s="213"/>
      <c r="E491" s="17"/>
      <c r="F491" s="18"/>
      <c r="G491" s="209" t="s">
        <v>192</v>
      </c>
      <c r="H491" s="57" t="s">
        <v>192</v>
      </c>
      <c r="I491" s="57" t="s">
        <v>192</v>
      </c>
    </row>
    <row r="492" spans="1:9" ht="13.5" thickBot="1" x14ac:dyDescent="0.25"/>
    <row r="493" spans="1:9" ht="13.5" thickBot="1" x14ac:dyDescent="0.25">
      <c r="A493" s="3" t="s">
        <v>79</v>
      </c>
      <c r="B493" s="356" t="s">
        <v>82</v>
      </c>
      <c r="C493" s="357"/>
      <c r="D493" s="2" t="s">
        <v>74</v>
      </c>
      <c r="E493" s="2" t="s">
        <v>75</v>
      </c>
      <c r="F493" s="4" t="s">
        <v>76</v>
      </c>
      <c r="G493" s="2" t="s">
        <v>74</v>
      </c>
      <c r="H493" s="3" t="s">
        <v>75</v>
      </c>
      <c r="I493" s="4" t="s">
        <v>76</v>
      </c>
    </row>
    <row r="494" spans="1:9" ht="13.5" thickBot="1" x14ac:dyDescent="0.25">
      <c r="A494" s="358" t="str">
        <f t="shared" ref="A494" si="79">CONCATENATE(K494," - ",L494)</f>
        <v xml:space="preserve"> - </v>
      </c>
      <c r="B494" s="361" t="s">
        <v>80</v>
      </c>
      <c r="C494" s="362"/>
      <c r="D494" s="217"/>
      <c r="E494" s="217"/>
      <c r="F494" s="218"/>
      <c r="G494" s="55" t="s">
        <v>192</v>
      </c>
      <c r="H494" s="220" t="s">
        <v>192</v>
      </c>
      <c r="I494" s="55" t="s">
        <v>192</v>
      </c>
    </row>
    <row r="495" spans="1:9" ht="13.5" thickBot="1" x14ac:dyDescent="0.25">
      <c r="A495" s="359"/>
      <c r="B495" s="363" t="s">
        <v>78</v>
      </c>
      <c r="C495" s="364"/>
      <c r="D495" s="210" t="s">
        <v>74</v>
      </c>
      <c r="E495" s="2" t="s">
        <v>75</v>
      </c>
      <c r="F495" s="4" t="s">
        <v>76</v>
      </c>
      <c r="G495" s="3" t="s">
        <v>74</v>
      </c>
      <c r="H495" s="3" t="s">
        <v>75</v>
      </c>
      <c r="I495" s="3" t="s">
        <v>76</v>
      </c>
    </row>
    <row r="496" spans="1:9" x14ac:dyDescent="0.2">
      <c r="A496" s="359"/>
      <c r="B496" s="365" t="s">
        <v>81</v>
      </c>
      <c r="C496" s="214" t="s">
        <v>74</v>
      </c>
      <c r="D496" s="211"/>
      <c r="E496" s="13"/>
      <c r="F496" s="14"/>
      <c r="G496" s="56" t="s">
        <v>192</v>
      </c>
      <c r="H496" s="56" t="s">
        <v>192</v>
      </c>
      <c r="I496" s="221" t="s">
        <v>192</v>
      </c>
    </row>
    <row r="497" spans="1:9" x14ac:dyDescent="0.2">
      <c r="A497" s="359"/>
      <c r="B497" s="366"/>
      <c r="C497" s="215" t="s">
        <v>75</v>
      </c>
      <c r="D497" s="212"/>
      <c r="E497" s="15"/>
      <c r="F497" s="16"/>
      <c r="G497" s="56" t="s">
        <v>192</v>
      </c>
      <c r="H497" s="219" t="s">
        <v>192</v>
      </c>
      <c r="I497" s="56" t="s">
        <v>192</v>
      </c>
    </row>
    <row r="498" spans="1:9" ht="13.5" thickBot="1" x14ac:dyDescent="0.25">
      <c r="A498" s="360"/>
      <c r="B498" s="367"/>
      <c r="C498" s="216" t="s">
        <v>76</v>
      </c>
      <c r="D498" s="213"/>
      <c r="E498" s="17"/>
      <c r="F498" s="18"/>
      <c r="G498" s="209" t="s">
        <v>192</v>
      </c>
      <c r="H498" s="57" t="s">
        <v>192</v>
      </c>
      <c r="I498" s="57" t="s">
        <v>192</v>
      </c>
    </row>
    <row r="499" spans="1:9" ht="13.5" thickBot="1" x14ac:dyDescent="0.25"/>
    <row r="500" spans="1:9" ht="13.5" thickBot="1" x14ac:dyDescent="0.25">
      <c r="A500" s="3" t="s">
        <v>79</v>
      </c>
      <c r="B500" s="356" t="s">
        <v>82</v>
      </c>
      <c r="C500" s="357"/>
      <c r="D500" s="2" t="s">
        <v>74</v>
      </c>
      <c r="E500" s="2" t="s">
        <v>75</v>
      </c>
      <c r="F500" s="4" t="s">
        <v>76</v>
      </c>
      <c r="G500" s="2" t="s">
        <v>74</v>
      </c>
      <c r="H500" s="3" t="s">
        <v>75</v>
      </c>
      <c r="I500" s="4" t="s">
        <v>76</v>
      </c>
    </row>
    <row r="501" spans="1:9" ht="13.5" thickBot="1" x14ac:dyDescent="0.25">
      <c r="A501" s="358" t="str">
        <f t="shared" ref="A501" si="80">CONCATENATE(K501," - ",L501)</f>
        <v xml:space="preserve"> - </v>
      </c>
      <c r="B501" s="361" t="s">
        <v>80</v>
      </c>
      <c r="C501" s="362"/>
      <c r="D501" s="217"/>
      <c r="E501" s="217"/>
      <c r="F501" s="218"/>
      <c r="G501" s="55" t="s">
        <v>192</v>
      </c>
      <c r="H501" s="220" t="s">
        <v>192</v>
      </c>
      <c r="I501" s="55" t="s">
        <v>192</v>
      </c>
    </row>
    <row r="502" spans="1:9" ht="13.5" thickBot="1" x14ac:dyDescent="0.25">
      <c r="A502" s="359"/>
      <c r="B502" s="363" t="s">
        <v>78</v>
      </c>
      <c r="C502" s="364"/>
      <c r="D502" s="210" t="s">
        <v>74</v>
      </c>
      <c r="E502" s="2" t="s">
        <v>75</v>
      </c>
      <c r="F502" s="4" t="s">
        <v>76</v>
      </c>
      <c r="G502" s="3" t="s">
        <v>74</v>
      </c>
      <c r="H502" s="3" t="s">
        <v>75</v>
      </c>
      <c r="I502" s="3" t="s">
        <v>76</v>
      </c>
    </row>
    <row r="503" spans="1:9" x14ac:dyDescent="0.2">
      <c r="A503" s="359"/>
      <c r="B503" s="365" t="s">
        <v>81</v>
      </c>
      <c r="C503" s="214" t="s">
        <v>74</v>
      </c>
      <c r="D503" s="211"/>
      <c r="E503" s="13"/>
      <c r="F503" s="14"/>
      <c r="G503" s="56" t="s">
        <v>192</v>
      </c>
      <c r="H503" s="56" t="s">
        <v>192</v>
      </c>
      <c r="I503" s="221" t="s">
        <v>192</v>
      </c>
    </row>
    <row r="504" spans="1:9" x14ac:dyDescent="0.2">
      <c r="A504" s="359"/>
      <c r="B504" s="366"/>
      <c r="C504" s="215" t="s">
        <v>75</v>
      </c>
      <c r="D504" s="212"/>
      <c r="E504" s="15"/>
      <c r="F504" s="16"/>
      <c r="G504" s="56" t="s">
        <v>192</v>
      </c>
      <c r="H504" s="219" t="s">
        <v>192</v>
      </c>
      <c r="I504" s="56" t="s">
        <v>192</v>
      </c>
    </row>
    <row r="505" spans="1:9" ht="13.5" thickBot="1" x14ac:dyDescent="0.25">
      <c r="A505" s="360"/>
      <c r="B505" s="367"/>
      <c r="C505" s="216" t="s">
        <v>76</v>
      </c>
      <c r="D505" s="213"/>
      <c r="E505" s="17"/>
      <c r="F505" s="18"/>
      <c r="G505" s="209" t="s">
        <v>192</v>
      </c>
      <c r="H505" s="57" t="s">
        <v>192</v>
      </c>
      <c r="I505" s="57" t="s">
        <v>192</v>
      </c>
    </row>
    <row r="506" spans="1:9" ht="13.5" thickBot="1" x14ac:dyDescent="0.25"/>
    <row r="507" spans="1:9" ht="13.5" thickBot="1" x14ac:dyDescent="0.25">
      <c r="A507" s="3" t="s">
        <v>79</v>
      </c>
      <c r="B507" s="356" t="s">
        <v>82</v>
      </c>
      <c r="C507" s="357"/>
      <c r="D507" s="2" t="s">
        <v>74</v>
      </c>
      <c r="E507" s="2" t="s">
        <v>75</v>
      </c>
      <c r="F507" s="4" t="s">
        <v>76</v>
      </c>
      <c r="G507" s="2" t="s">
        <v>74</v>
      </c>
      <c r="H507" s="3" t="s">
        <v>75</v>
      </c>
      <c r="I507" s="4" t="s">
        <v>76</v>
      </c>
    </row>
    <row r="508" spans="1:9" ht="13.5" thickBot="1" x14ac:dyDescent="0.25">
      <c r="A508" s="358" t="str">
        <f t="shared" ref="A508" si="81">CONCATENATE(K508," - ",L508)</f>
        <v xml:space="preserve"> - </v>
      </c>
      <c r="B508" s="361" t="s">
        <v>80</v>
      </c>
      <c r="C508" s="362"/>
      <c r="D508" s="217"/>
      <c r="E508" s="217"/>
      <c r="F508" s="218"/>
      <c r="G508" s="55" t="s">
        <v>192</v>
      </c>
      <c r="H508" s="220" t="s">
        <v>192</v>
      </c>
      <c r="I508" s="55" t="s">
        <v>192</v>
      </c>
    </row>
    <row r="509" spans="1:9" ht="13.5" thickBot="1" x14ac:dyDescent="0.25">
      <c r="A509" s="359"/>
      <c r="B509" s="363" t="s">
        <v>78</v>
      </c>
      <c r="C509" s="364"/>
      <c r="D509" s="210" t="s">
        <v>74</v>
      </c>
      <c r="E509" s="2" t="s">
        <v>75</v>
      </c>
      <c r="F509" s="4" t="s">
        <v>76</v>
      </c>
      <c r="G509" s="3" t="s">
        <v>74</v>
      </c>
      <c r="H509" s="3" t="s">
        <v>75</v>
      </c>
      <c r="I509" s="3" t="s">
        <v>76</v>
      </c>
    </row>
    <row r="510" spans="1:9" x14ac:dyDescent="0.2">
      <c r="A510" s="359"/>
      <c r="B510" s="365" t="s">
        <v>81</v>
      </c>
      <c r="C510" s="214" t="s">
        <v>74</v>
      </c>
      <c r="D510" s="211"/>
      <c r="E510" s="13"/>
      <c r="F510" s="14"/>
      <c r="G510" s="56" t="s">
        <v>192</v>
      </c>
      <c r="H510" s="56" t="s">
        <v>192</v>
      </c>
      <c r="I510" s="221" t="s">
        <v>192</v>
      </c>
    </row>
    <row r="511" spans="1:9" x14ac:dyDescent="0.2">
      <c r="A511" s="359"/>
      <c r="B511" s="366"/>
      <c r="C511" s="215" t="s">
        <v>75</v>
      </c>
      <c r="D511" s="212"/>
      <c r="E511" s="15"/>
      <c r="F511" s="16"/>
      <c r="G511" s="56" t="s">
        <v>192</v>
      </c>
      <c r="H511" s="219" t="s">
        <v>192</v>
      </c>
      <c r="I511" s="56" t="s">
        <v>192</v>
      </c>
    </row>
    <row r="512" spans="1:9" ht="13.5" thickBot="1" x14ac:dyDescent="0.25">
      <c r="A512" s="360"/>
      <c r="B512" s="367"/>
      <c r="C512" s="216" t="s">
        <v>76</v>
      </c>
      <c r="D512" s="213"/>
      <c r="E512" s="17"/>
      <c r="F512" s="18"/>
      <c r="G512" s="209" t="s">
        <v>192</v>
      </c>
      <c r="H512" s="57" t="s">
        <v>192</v>
      </c>
      <c r="I512" s="57" t="s">
        <v>192</v>
      </c>
    </row>
    <row r="513" spans="1:9" ht="13.5" thickBot="1" x14ac:dyDescent="0.25"/>
    <row r="514" spans="1:9" ht="13.5" thickBot="1" x14ac:dyDescent="0.25">
      <c r="A514" s="3" t="s">
        <v>79</v>
      </c>
      <c r="B514" s="356" t="s">
        <v>82</v>
      </c>
      <c r="C514" s="357"/>
      <c r="D514" s="2" t="s">
        <v>74</v>
      </c>
      <c r="E514" s="2" t="s">
        <v>75</v>
      </c>
      <c r="F514" s="4" t="s">
        <v>76</v>
      </c>
      <c r="G514" s="2" t="s">
        <v>74</v>
      </c>
      <c r="H514" s="3" t="s">
        <v>75</v>
      </c>
      <c r="I514" s="4" t="s">
        <v>76</v>
      </c>
    </row>
    <row r="515" spans="1:9" ht="13.5" thickBot="1" x14ac:dyDescent="0.25">
      <c r="A515" s="358" t="str">
        <f t="shared" ref="A515" si="82">CONCATENATE(K515," - ",L515)</f>
        <v xml:space="preserve"> - </v>
      </c>
      <c r="B515" s="361" t="s">
        <v>80</v>
      </c>
      <c r="C515" s="362"/>
      <c r="D515" s="217"/>
      <c r="E515" s="217"/>
      <c r="F515" s="218"/>
      <c r="G515" s="55" t="s">
        <v>192</v>
      </c>
      <c r="H515" s="220" t="s">
        <v>192</v>
      </c>
      <c r="I515" s="55" t="s">
        <v>192</v>
      </c>
    </row>
    <row r="516" spans="1:9" ht="13.5" thickBot="1" x14ac:dyDescent="0.25">
      <c r="A516" s="359"/>
      <c r="B516" s="363" t="s">
        <v>78</v>
      </c>
      <c r="C516" s="364"/>
      <c r="D516" s="210" t="s">
        <v>74</v>
      </c>
      <c r="E516" s="2" t="s">
        <v>75</v>
      </c>
      <c r="F516" s="4" t="s">
        <v>76</v>
      </c>
      <c r="G516" s="3" t="s">
        <v>74</v>
      </c>
      <c r="H516" s="3" t="s">
        <v>75</v>
      </c>
      <c r="I516" s="3" t="s">
        <v>76</v>
      </c>
    </row>
    <row r="517" spans="1:9" x14ac:dyDescent="0.2">
      <c r="A517" s="359"/>
      <c r="B517" s="365" t="s">
        <v>81</v>
      </c>
      <c r="C517" s="214" t="s">
        <v>74</v>
      </c>
      <c r="D517" s="211"/>
      <c r="E517" s="13"/>
      <c r="F517" s="14"/>
      <c r="G517" s="56" t="s">
        <v>192</v>
      </c>
      <c r="H517" s="56" t="s">
        <v>192</v>
      </c>
      <c r="I517" s="221" t="s">
        <v>192</v>
      </c>
    </row>
    <row r="518" spans="1:9" x14ac:dyDescent="0.2">
      <c r="A518" s="359"/>
      <c r="B518" s="366"/>
      <c r="C518" s="215" t="s">
        <v>75</v>
      </c>
      <c r="D518" s="212"/>
      <c r="E518" s="15"/>
      <c r="F518" s="16"/>
      <c r="G518" s="56" t="s">
        <v>192</v>
      </c>
      <c r="H518" s="219" t="s">
        <v>192</v>
      </c>
      <c r="I518" s="56" t="s">
        <v>192</v>
      </c>
    </row>
    <row r="519" spans="1:9" ht="13.5" thickBot="1" x14ac:dyDescent="0.25">
      <c r="A519" s="360"/>
      <c r="B519" s="367"/>
      <c r="C519" s="216" t="s">
        <v>76</v>
      </c>
      <c r="D519" s="213"/>
      <c r="E519" s="17"/>
      <c r="F519" s="18"/>
      <c r="G519" s="209" t="s">
        <v>192</v>
      </c>
      <c r="H519" s="57" t="s">
        <v>192</v>
      </c>
      <c r="I519" s="57" t="s">
        <v>192</v>
      </c>
    </row>
    <row r="520" spans="1:9" ht="13.5" thickBot="1" x14ac:dyDescent="0.25"/>
    <row r="521" spans="1:9" ht="13.5" thickBot="1" x14ac:dyDescent="0.25">
      <c r="A521" s="3" t="s">
        <v>79</v>
      </c>
      <c r="B521" s="356" t="s">
        <v>82</v>
      </c>
      <c r="C521" s="357"/>
      <c r="D521" s="2" t="s">
        <v>74</v>
      </c>
      <c r="E521" s="2" t="s">
        <v>75</v>
      </c>
      <c r="F521" s="4" t="s">
        <v>76</v>
      </c>
      <c r="G521" s="2" t="s">
        <v>74</v>
      </c>
      <c r="H521" s="3" t="s">
        <v>75</v>
      </c>
      <c r="I521" s="4" t="s">
        <v>76</v>
      </c>
    </row>
    <row r="522" spans="1:9" ht="13.5" thickBot="1" x14ac:dyDescent="0.25">
      <c r="A522" s="358" t="str">
        <f t="shared" ref="A522" si="83">CONCATENATE(K522," - ",L522)</f>
        <v xml:space="preserve"> - </v>
      </c>
      <c r="B522" s="361" t="s">
        <v>80</v>
      </c>
      <c r="C522" s="362"/>
      <c r="D522" s="217"/>
      <c r="E522" s="217"/>
      <c r="F522" s="218"/>
      <c r="G522" s="55" t="s">
        <v>192</v>
      </c>
      <c r="H522" s="220" t="s">
        <v>192</v>
      </c>
      <c r="I522" s="55" t="s">
        <v>192</v>
      </c>
    </row>
    <row r="523" spans="1:9" ht="13.5" thickBot="1" x14ac:dyDescent="0.25">
      <c r="A523" s="359"/>
      <c r="B523" s="363" t="s">
        <v>78</v>
      </c>
      <c r="C523" s="364"/>
      <c r="D523" s="210" t="s">
        <v>74</v>
      </c>
      <c r="E523" s="2" t="s">
        <v>75</v>
      </c>
      <c r="F523" s="4" t="s">
        <v>76</v>
      </c>
      <c r="G523" s="3" t="s">
        <v>74</v>
      </c>
      <c r="H523" s="3" t="s">
        <v>75</v>
      </c>
      <c r="I523" s="3" t="s">
        <v>76</v>
      </c>
    </row>
    <row r="524" spans="1:9" x14ac:dyDescent="0.2">
      <c r="A524" s="359"/>
      <c r="B524" s="365" t="s">
        <v>81</v>
      </c>
      <c r="C524" s="214" t="s">
        <v>74</v>
      </c>
      <c r="D524" s="211"/>
      <c r="E524" s="13"/>
      <c r="F524" s="14"/>
      <c r="G524" s="56" t="s">
        <v>192</v>
      </c>
      <c r="H524" s="56" t="s">
        <v>192</v>
      </c>
      <c r="I524" s="221" t="s">
        <v>192</v>
      </c>
    </row>
    <row r="525" spans="1:9" x14ac:dyDescent="0.2">
      <c r="A525" s="359"/>
      <c r="B525" s="366"/>
      <c r="C525" s="215" t="s">
        <v>75</v>
      </c>
      <c r="D525" s="212"/>
      <c r="E525" s="15"/>
      <c r="F525" s="16"/>
      <c r="G525" s="56" t="s">
        <v>192</v>
      </c>
      <c r="H525" s="219" t="s">
        <v>192</v>
      </c>
      <c r="I525" s="56" t="s">
        <v>192</v>
      </c>
    </row>
    <row r="526" spans="1:9" ht="13.5" thickBot="1" x14ac:dyDescent="0.25">
      <c r="A526" s="360"/>
      <c r="B526" s="367"/>
      <c r="C526" s="216" t="s">
        <v>76</v>
      </c>
      <c r="D526" s="213"/>
      <c r="E526" s="17"/>
      <c r="F526" s="18"/>
      <c r="G526" s="209" t="s">
        <v>192</v>
      </c>
      <c r="H526" s="57" t="s">
        <v>192</v>
      </c>
      <c r="I526" s="57" t="s">
        <v>192</v>
      </c>
    </row>
    <row r="527" spans="1:9" ht="13.5" thickBot="1" x14ac:dyDescent="0.25"/>
    <row r="528" spans="1:9" ht="13.5" thickBot="1" x14ac:dyDescent="0.25">
      <c r="A528" s="3" t="s">
        <v>79</v>
      </c>
      <c r="B528" s="356" t="s">
        <v>82</v>
      </c>
      <c r="C528" s="357"/>
      <c r="D528" s="2" t="s">
        <v>74</v>
      </c>
      <c r="E528" s="2" t="s">
        <v>75</v>
      </c>
      <c r="F528" s="4" t="s">
        <v>76</v>
      </c>
      <c r="G528" s="2" t="s">
        <v>74</v>
      </c>
      <c r="H528" s="3" t="s">
        <v>75</v>
      </c>
      <c r="I528" s="4" t="s">
        <v>76</v>
      </c>
    </row>
    <row r="529" spans="1:9" ht="13.5" thickBot="1" x14ac:dyDescent="0.25">
      <c r="A529" s="358" t="str">
        <f t="shared" ref="A529" si="84">CONCATENATE(K529," - ",L529)</f>
        <v xml:space="preserve"> - </v>
      </c>
      <c r="B529" s="361" t="s">
        <v>80</v>
      </c>
      <c r="C529" s="362"/>
      <c r="D529" s="217"/>
      <c r="E529" s="217"/>
      <c r="F529" s="218"/>
      <c r="G529" s="55" t="s">
        <v>192</v>
      </c>
      <c r="H529" s="220" t="s">
        <v>192</v>
      </c>
      <c r="I529" s="55" t="s">
        <v>192</v>
      </c>
    </row>
    <row r="530" spans="1:9" ht="13.5" thickBot="1" x14ac:dyDescent="0.25">
      <c r="A530" s="359"/>
      <c r="B530" s="363" t="s">
        <v>78</v>
      </c>
      <c r="C530" s="364"/>
      <c r="D530" s="210" t="s">
        <v>74</v>
      </c>
      <c r="E530" s="2" t="s">
        <v>75</v>
      </c>
      <c r="F530" s="4" t="s">
        <v>76</v>
      </c>
      <c r="G530" s="3" t="s">
        <v>74</v>
      </c>
      <c r="H530" s="3" t="s">
        <v>75</v>
      </c>
      <c r="I530" s="3" t="s">
        <v>76</v>
      </c>
    </row>
    <row r="531" spans="1:9" x14ac:dyDescent="0.2">
      <c r="A531" s="359"/>
      <c r="B531" s="365" t="s">
        <v>81</v>
      </c>
      <c r="C531" s="214" t="s">
        <v>74</v>
      </c>
      <c r="D531" s="211"/>
      <c r="E531" s="13"/>
      <c r="F531" s="14"/>
      <c r="G531" s="56" t="s">
        <v>192</v>
      </c>
      <c r="H531" s="56" t="s">
        <v>192</v>
      </c>
      <c r="I531" s="221" t="s">
        <v>192</v>
      </c>
    </row>
    <row r="532" spans="1:9" x14ac:dyDescent="0.2">
      <c r="A532" s="359"/>
      <c r="B532" s="366"/>
      <c r="C532" s="215" t="s">
        <v>75</v>
      </c>
      <c r="D532" s="212"/>
      <c r="E532" s="15"/>
      <c r="F532" s="16"/>
      <c r="G532" s="56" t="s">
        <v>192</v>
      </c>
      <c r="H532" s="219" t="s">
        <v>192</v>
      </c>
      <c r="I532" s="56" t="s">
        <v>192</v>
      </c>
    </row>
    <row r="533" spans="1:9" ht="13.5" thickBot="1" x14ac:dyDescent="0.25">
      <c r="A533" s="360"/>
      <c r="B533" s="367"/>
      <c r="C533" s="216" t="s">
        <v>76</v>
      </c>
      <c r="D533" s="213"/>
      <c r="E533" s="17"/>
      <c r="F533" s="18"/>
      <c r="G533" s="209" t="s">
        <v>192</v>
      </c>
      <c r="H533" s="57" t="s">
        <v>192</v>
      </c>
      <c r="I533" s="57" t="s">
        <v>192</v>
      </c>
    </row>
    <row r="534" spans="1:9" ht="13.5" thickBot="1" x14ac:dyDescent="0.25"/>
    <row r="535" spans="1:9" ht="13.5" thickBot="1" x14ac:dyDescent="0.25">
      <c r="A535" s="3" t="s">
        <v>79</v>
      </c>
      <c r="B535" s="356" t="s">
        <v>82</v>
      </c>
      <c r="C535" s="357"/>
      <c r="D535" s="2" t="s">
        <v>74</v>
      </c>
      <c r="E535" s="2" t="s">
        <v>75</v>
      </c>
      <c r="F535" s="4" t="s">
        <v>76</v>
      </c>
      <c r="G535" s="2" t="s">
        <v>74</v>
      </c>
      <c r="H535" s="3" t="s">
        <v>75</v>
      </c>
      <c r="I535" s="4" t="s">
        <v>76</v>
      </c>
    </row>
    <row r="536" spans="1:9" ht="13.5" thickBot="1" x14ac:dyDescent="0.25">
      <c r="A536" s="358" t="str">
        <f t="shared" ref="A536" si="85">CONCATENATE(K536," - ",L536)</f>
        <v xml:space="preserve"> - </v>
      </c>
      <c r="B536" s="361" t="s">
        <v>80</v>
      </c>
      <c r="C536" s="362"/>
      <c r="D536" s="217"/>
      <c r="E536" s="217"/>
      <c r="F536" s="218"/>
      <c r="G536" s="55" t="s">
        <v>192</v>
      </c>
      <c r="H536" s="220" t="s">
        <v>192</v>
      </c>
      <c r="I536" s="55" t="s">
        <v>192</v>
      </c>
    </row>
    <row r="537" spans="1:9" ht="13.5" thickBot="1" x14ac:dyDescent="0.25">
      <c r="A537" s="359"/>
      <c r="B537" s="363" t="s">
        <v>78</v>
      </c>
      <c r="C537" s="364"/>
      <c r="D537" s="210" t="s">
        <v>74</v>
      </c>
      <c r="E537" s="2" t="s">
        <v>75</v>
      </c>
      <c r="F537" s="4" t="s">
        <v>76</v>
      </c>
      <c r="G537" s="3" t="s">
        <v>74</v>
      </c>
      <c r="H537" s="3" t="s">
        <v>75</v>
      </c>
      <c r="I537" s="3" t="s">
        <v>76</v>
      </c>
    </row>
    <row r="538" spans="1:9" x14ac:dyDescent="0.2">
      <c r="A538" s="359"/>
      <c r="B538" s="365" t="s">
        <v>81</v>
      </c>
      <c r="C538" s="214" t="s">
        <v>74</v>
      </c>
      <c r="D538" s="211"/>
      <c r="E538" s="13"/>
      <c r="F538" s="14"/>
      <c r="G538" s="56" t="s">
        <v>192</v>
      </c>
      <c r="H538" s="56" t="s">
        <v>192</v>
      </c>
      <c r="I538" s="221" t="s">
        <v>192</v>
      </c>
    </row>
    <row r="539" spans="1:9" x14ac:dyDescent="0.2">
      <c r="A539" s="359"/>
      <c r="B539" s="366"/>
      <c r="C539" s="215" t="s">
        <v>75</v>
      </c>
      <c r="D539" s="212"/>
      <c r="E539" s="15"/>
      <c r="F539" s="16"/>
      <c r="G539" s="56" t="s">
        <v>192</v>
      </c>
      <c r="H539" s="219" t="s">
        <v>192</v>
      </c>
      <c r="I539" s="56" t="s">
        <v>192</v>
      </c>
    </row>
    <row r="540" spans="1:9" ht="13.5" thickBot="1" x14ac:dyDescent="0.25">
      <c r="A540" s="360"/>
      <c r="B540" s="367"/>
      <c r="C540" s="216" t="s">
        <v>76</v>
      </c>
      <c r="D540" s="213"/>
      <c r="E540" s="17"/>
      <c r="F540" s="18"/>
      <c r="G540" s="209" t="s">
        <v>192</v>
      </c>
      <c r="H540" s="57" t="s">
        <v>192</v>
      </c>
      <c r="I540" s="57" t="s">
        <v>192</v>
      </c>
    </row>
    <row r="541" spans="1:9" ht="13.5" thickBot="1" x14ac:dyDescent="0.25"/>
    <row r="542" spans="1:9" ht="13.5" thickBot="1" x14ac:dyDescent="0.25">
      <c r="A542" s="3" t="s">
        <v>79</v>
      </c>
      <c r="B542" s="356" t="s">
        <v>82</v>
      </c>
      <c r="C542" s="357"/>
      <c r="D542" s="2" t="s">
        <v>74</v>
      </c>
      <c r="E542" s="2" t="s">
        <v>75</v>
      </c>
      <c r="F542" s="4" t="s">
        <v>76</v>
      </c>
      <c r="G542" s="2" t="s">
        <v>74</v>
      </c>
      <c r="H542" s="3" t="s">
        <v>75</v>
      </c>
      <c r="I542" s="4" t="s">
        <v>76</v>
      </c>
    </row>
    <row r="543" spans="1:9" ht="13.5" thickBot="1" x14ac:dyDescent="0.25">
      <c r="A543" s="358" t="str">
        <f t="shared" ref="A543" si="86">CONCATENATE(K543," - ",L543)</f>
        <v xml:space="preserve"> - </v>
      </c>
      <c r="B543" s="361" t="s">
        <v>80</v>
      </c>
      <c r="C543" s="362"/>
      <c r="D543" s="217"/>
      <c r="E543" s="217"/>
      <c r="F543" s="218"/>
      <c r="G543" s="55" t="s">
        <v>192</v>
      </c>
      <c r="H543" s="220" t="s">
        <v>192</v>
      </c>
      <c r="I543" s="55" t="s">
        <v>192</v>
      </c>
    </row>
    <row r="544" spans="1:9" ht="13.5" thickBot="1" x14ac:dyDescent="0.25">
      <c r="A544" s="359"/>
      <c r="B544" s="363" t="s">
        <v>78</v>
      </c>
      <c r="C544" s="364"/>
      <c r="D544" s="210" t="s">
        <v>74</v>
      </c>
      <c r="E544" s="2" t="s">
        <v>75</v>
      </c>
      <c r="F544" s="4" t="s">
        <v>76</v>
      </c>
      <c r="G544" s="3" t="s">
        <v>74</v>
      </c>
      <c r="H544" s="3" t="s">
        <v>75</v>
      </c>
      <c r="I544" s="3" t="s">
        <v>76</v>
      </c>
    </row>
    <row r="545" spans="1:9" x14ac:dyDescent="0.2">
      <c r="A545" s="359"/>
      <c r="B545" s="365" t="s">
        <v>81</v>
      </c>
      <c r="C545" s="214" t="s">
        <v>74</v>
      </c>
      <c r="D545" s="211"/>
      <c r="E545" s="13"/>
      <c r="F545" s="14"/>
      <c r="G545" s="56" t="s">
        <v>192</v>
      </c>
      <c r="H545" s="56" t="s">
        <v>192</v>
      </c>
      <c r="I545" s="221" t="s">
        <v>192</v>
      </c>
    </row>
    <row r="546" spans="1:9" x14ac:dyDescent="0.2">
      <c r="A546" s="359"/>
      <c r="B546" s="366"/>
      <c r="C546" s="215" t="s">
        <v>75</v>
      </c>
      <c r="D546" s="212"/>
      <c r="E546" s="15"/>
      <c r="F546" s="16"/>
      <c r="G546" s="56" t="s">
        <v>192</v>
      </c>
      <c r="H546" s="219" t="s">
        <v>192</v>
      </c>
      <c r="I546" s="56" t="s">
        <v>192</v>
      </c>
    </row>
    <row r="547" spans="1:9" ht="13.5" thickBot="1" x14ac:dyDescent="0.25">
      <c r="A547" s="360"/>
      <c r="B547" s="367"/>
      <c r="C547" s="216" t="s">
        <v>76</v>
      </c>
      <c r="D547" s="213"/>
      <c r="E547" s="17"/>
      <c r="F547" s="18"/>
      <c r="G547" s="209" t="s">
        <v>192</v>
      </c>
      <c r="H547" s="57" t="s">
        <v>192</v>
      </c>
      <c r="I547" s="57" t="s">
        <v>192</v>
      </c>
    </row>
    <row r="548" spans="1:9" ht="13.5" thickBot="1" x14ac:dyDescent="0.25"/>
    <row r="549" spans="1:9" ht="13.5" thickBot="1" x14ac:dyDescent="0.25">
      <c r="A549" s="3" t="s">
        <v>79</v>
      </c>
      <c r="B549" s="356" t="s">
        <v>82</v>
      </c>
      <c r="C549" s="357"/>
      <c r="D549" s="2" t="s">
        <v>74</v>
      </c>
      <c r="E549" s="2" t="s">
        <v>75</v>
      </c>
      <c r="F549" s="4" t="s">
        <v>76</v>
      </c>
      <c r="G549" s="2" t="s">
        <v>74</v>
      </c>
      <c r="H549" s="3" t="s">
        <v>75</v>
      </c>
      <c r="I549" s="4" t="s">
        <v>76</v>
      </c>
    </row>
    <row r="550" spans="1:9" ht="13.5" thickBot="1" x14ac:dyDescent="0.25">
      <c r="A550" s="358" t="str">
        <f t="shared" ref="A550" si="87">CONCATENATE(K550," - ",L550)</f>
        <v xml:space="preserve"> - </v>
      </c>
      <c r="B550" s="361" t="s">
        <v>80</v>
      </c>
      <c r="C550" s="362"/>
      <c r="D550" s="217"/>
      <c r="E550" s="217"/>
      <c r="F550" s="218"/>
      <c r="G550" s="55" t="s">
        <v>192</v>
      </c>
      <c r="H550" s="220" t="s">
        <v>192</v>
      </c>
      <c r="I550" s="55" t="s">
        <v>192</v>
      </c>
    </row>
    <row r="551" spans="1:9" ht="13.5" thickBot="1" x14ac:dyDescent="0.25">
      <c r="A551" s="359"/>
      <c r="B551" s="363" t="s">
        <v>78</v>
      </c>
      <c r="C551" s="364"/>
      <c r="D551" s="210" t="s">
        <v>74</v>
      </c>
      <c r="E551" s="2" t="s">
        <v>75</v>
      </c>
      <c r="F551" s="4" t="s">
        <v>76</v>
      </c>
      <c r="G551" s="3" t="s">
        <v>74</v>
      </c>
      <c r="H551" s="3" t="s">
        <v>75</v>
      </c>
      <c r="I551" s="3" t="s">
        <v>76</v>
      </c>
    </row>
    <row r="552" spans="1:9" x14ac:dyDescent="0.2">
      <c r="A552" s="359"/>
      <c r="B552" s="365" t="s">
        <v>81</v>
      </c>
      <c r="C552" s="214" t="s">
        <v>74</v>
      </c>
      <c r="D552" s="211"/>
      <c r="E552" s="13"/>
      <c r="F552" s="14"/>
      <c r="G552" s="56" t="s">
        <v>192</v>
      </c>
      <c r="H552" s="56" t="s">
        <v>192</v>
      </c>
      <c r="I552" s="221" t="s">
        <v>192</v>
      </c>
    </row>
    <row r="553" spans="1:9" x14ac:dyDescent="0.2">
      <c r="A553" s="359"/>
      <c r="B553" s="366"/>
      <c r="C553" s="215" t="s">
        <v>75</v>
      </c>
      <c r="D553" s="212"/>
      <c r="E553" s="15"/>
      <c r="F553" s="16"/>
      <c r="G553" s="56" t="s">
        <v>192</v>
      </c>
      <c r="H553" s="219" t="s">
        <v>192</v>
      </c>
      <c r="I553" s="56" t="s">
        <v>192</v>
      </c>
    </row>
    <row r="554" spans="1:9" ht="13.5" thickBot="1" x14ac:dyDescent="0.25">
      <c r="A554" s="360"/>
      <c r="B554" s="367"/>
      <c r="C554" s="216" t="s">
        <v>76</v>
      </c>
      <c r="D554" s="213"/>
      <c r="E554" s="17"/>
      <c r="F554" s="18"/>
      <c r="G554" s="209" t="s">
        <v>192</v>
      </c>
      <c r="H554" s="57" t="s">
        <v>192</v>
      </c>
      <c r="I554" s="57" t="s">
        <v>192</v>
      </c>
    </row>
    <row r="555" spans="1:9" ht="13.5" thickBot="1" x14ac:dyDescent="0.25"/>
    <row r="556" spans="1:9" ht="13.5" thickBot="1" x14ac:dyDescent="0.25">
      <c r="A556" s="3" t="s">
        <v>79</v>
      </c>
      <c r="B556" s="356" t="s">
        <v>82</v>
      </c>
      <c r="C556" s="357"/>
      <c r="D556" s="2" t="s">
        <v>74</v>
      </c>
      <c r="E556" s="2" t="s">
        <v>75</v>
      </c>
      <c r="F556" s="4" t="s">
        <v>76</v>
      </c>
      <c r="G556" s="2" t="s">
        <v>74</v>
      </c>
      <c r="H556" s="3" t="s">
        <v>75</v>
      </c>
      <c r="I556" s="4" t="s">
        <v>76</v>
      </c>
    </row>
    <row r="557" spans="1:9" ht="13.5" thickBot="1" x14ac:dyDescent="0.25">
      <c r="A557" s="358" t="str">
        <f t="shared" ref="A557" si="88">CONCATENATE(K557," - ",L557)</f>
        <v xml:space="preserve"> - </v>
      </c>
      <c r="B557" s="361" t="s">
        <v>80</v>
      </c>
      <c r="C557" s="362"/>
      <c r="D557" s="217"/>
      <c r="E557" s="217"/>
      <c r="F557" s="218"/>
      <c r="G557" s="55" t="s">
        <v>192</v>
      </c>
      <c r="H557" s="220" t="s">
        <v>192</v>
      </c>
      <c r="I557" s="55" t="s">
        <v>192</v>
      </c>
    </row>
    <row r="558" spans="1:9" ht="13.5" thickBot="1" x14ac:dyDescent="0.25">
      <c r="A558" s="359"/>
      <c r="B558" s="363" t="s">
        <v>78</v>
      </c>
      <c r="C558" s="364"/>
      <c r="D558" s="210" t="s">
        <v>74</v>
      </c>
      <c r="E558" s="2" t="s">
        <v>75</v>
      </c>
      <c r="F558" s="4" t="s">
        <v>76</v>
      </c>
      <c r="G558" s="3" t="s">
        <v>74</v>
      </c>
      <c r="H558" s="3" t="s">
        <v>75</v>
      </c>
      <c r="I558" s="3" t="s">
        <v>76</v>
      </c>
    </row>
    <row r="559" spans="1:9" x14ac:dyDescent="0.2">
      <c r="A559" s="359"/>
      <c r="B559" s="365" t="s">
        <v>81</v>
      </c>
      <c r="C559" s="214" t="s">
        <v>74</v>
      </c>
      <c r="D559" s="211"/>
      <c r="E559" s="13"/>
      <c r="F559" s="14"/>
      <c r="G559" s="56" t="s">
        <v>192</v>
      </c>
      <c r="H559" s="56" t="s">
        <v>192</v>
      </c>
      <c r="I559" s="221" t="s">
        <v>192</v>
      </c>
    </row>
    <row r="560" spans="1:9" x14ac:dyDescent="0.2">
      <c r="A560" s="359"/>
      <c r="B560" s="366"/>
      <c r="C560" s="215" t="s">
        <v>75</v>
      </c>
      <c r="D560" s="212"/>
      <c r="E560" s="15"/>
      <c r="F560" s="16"/>
      <c r="G560" s="56" t="s">
        <v>192</v>
      </c>
      <c r="H560" s="219" t="s">
        <v>192</v>
      </c>
      <c r="I560" s="56" t="s">
        <v>192</v>
      </c>
    </row>
    <row r="561" spans="1:9" ht="13.5" thickBot="1" x14ac:dyDescent="0.25">
      <c r="A561" s="360"/>
      <c r="B561" s="367"/>
      <c r="C561" s="216" t="s">
        <v>76</v>
      </c>
      <c r="D561" s="213"/>
      <c r="E561" s="17"/>
      <c r="F561" s="18"/>
      <c r="G561" s="209" t="s">
        <v>192</v>
      </c>
      <c r="H561" s="57" t="s">
        <v>192</v>
      </c>
      <c r="I561" s="57" t="s">
        <v>192</v>
      </c>
    </row>
    <row r="562" spans="1:9" ht="13.5" thickBot="1" x14ac:dyDescent="0.25"/>
    <row r="563" spans="1:9" ht="13.5" thickBot="1" x14ac:dyDescent="0.25">
      <c r="A563" s="3" t="s">
        <v>79</v>
      </c>
      <c r="B563" s="356" t="s">
        <v>82</v>
      </c>
      <c r="C563" s="357"/>
      <c r="D563" s="2" t="s">
        <v>74</v>
      </c>
      <c r="E563" s="2" t="s">
        <v>75</v>
      </c>
      <c r="F563" s="4" t="s">
        <v>76</v>
      </c>
      <c r="G563" s="2" t="s">
        <v>74</v>
      </c>
      <c r="H563" s="3" t="s">
        <v>75</v>
      </c>
      <c r="I563" s="4" t="s">
        <v>76</v>
      </c>
    </row>
    <row r="564" spans="1:9" ht="13.5" thickBot="1" x14ac:dyDescent="0.25">
      <c r="A564" s="358" t="str">
        <f t="shared" ref="A564" si="89">CONCATENATE(K564," - ",L564)</f>
        <v xml:space="preserve"> - </v>
      </c>
      <c r="B564" s="361" t="s">
        <v>80</v>
      </c>
      <c r="C564" s="362"/>
      <c r="D564" s="217"/>
      <c r="E564" s="217"/>
      <c r="F564" s="218"/>
      <c r="G564" s="55" t="s">
        <v>192</v>
      </c>
      <c r="H564" s="220" t="s">
        <v>192</v>
      </c>
      <c r="I564" s="55" t="s">
        <v>192</v>
      </c>
    </row>
    <row r="565" spans="1:9" ht="13.5" thickBot="1" x14ac:dyDescent="0.25">
      <c r="A565" s="359"/>
      <c r="B565" s="363" t="s">
        <v>78</v>
      </c>
      <c r="C565" s="364"/>
      <c r="D565" s="210" t="s">
        <v>74</v>
      </c>
      <c r="E565" s="2" t="s">
        <v>75</v>
      </c>
      <c r="F565" s="4" t="s">
        <v>76</v>
      </c>
      <c r="G565" s="3" t="s">
        <v>74</v>
      </c>
      <c r="H565" s="3" t="s">
        <v>75</v>
      </c>
      <c r="I565" s="3" t="s">
        <v>76</v>
      </c>
    </row>
    <row r="566" spans="1:9" x14ac:dyDescent="0.2">
      <c r="A566" s="359"/>
      <c r="B566" s="365" t="s">
        <v>81</v>
      </c>
      <c r="C566" s="214" t="s">
        <v>74</v>
      </c>
      <c r="D566" s="211"/>
      <c r="E566" s="13"/>
      <c r="F566" s="14"/>
      <c r="G566" s="56" t="s">
        <v>192</v>
      </c>
      <c r="H566" s="56" t="s">
        <v>192</v>
      </c>
      <c r="I566" s="221" t="s">
        <v>192</v>
      </c>
    </row>
    <row r="567" spans="1:9" x14ac:dyDescent="0.2">
      <c r="A567" s="359"/>
      <c r="B567" s="366"/>
      <c r="C567" s="215" t="s">
        <v>75</v>
      </c>
      <c r="D567" s="212"/>
      <c r="E567" s="15"/>
      <c r="F567" s="16"/>
      <c r="G567" s="56" t="s">
        <v>192</v>
      </c>
      <c r="H567" s="219" t="s">
        <v>192</v>
      </c>
      <c r="I567" s="56" t="s">
        <v>192</v>
      </c>
    </row>
    <row r="568" spans="1:9" ht="13.5" thickBot="1" x14ac:dyDescent="0.25">
      <c r="A568" s="360"/>
      <c r="B568" s="367"/>
      <c r="C568" s="216" t="s">
        <v>76</v>
      </c>
      <c r="D568" s="213"/>
      <c r="E568" s="17"/>
      <c r="F568" s="18"/>
      <c r="G568" s="209" t="s">
        <v>192</v>
      </c>
      <c r="H568" s="57" t="s">
        <v>192</v>
      </c>
      <c r="I568" s="57" t="s">
        <v>192</v>
      </c>
    </row>
    <row r="569" spans="1:9" ht="13.5" thickBot="1" x14ac:dyDescent="0.25"/>
    <row r="570" spans="1:9" ht="13.5" thickBot="1" x14ac:dyDescent="0.25">
      <c r="A570" s="3" t="s">
        <v>79</v>
      </c>
      <c r="B570" s="356" t="s">
        <v>82</v>
      </c>
      <c r="C570" s="357"/>
      <c r="D570" s="2" t="s">
        <v>74</v>
      </c>
      <c r="E570" s="2" t="s">
        <v>75</v>
      </c>
      <c r="F570" s="4" t="s">
        <v>76</v>
      </c>
      <c r="G570" s="2" t="s">
        <v>74</v>
      </c>
      <c r="H570" s="3" t="s">
        <v>75</v>
      </c>
      <c r="I570" s="4" t="s">
        <v>76</v>
      </c>
    </row>
    <row r="571" spans="1:9" ht="13.5" thickBot="1" x14ac:dyDescent="0.25">
      <c r="A571" s="358" t="str">
        <f t="shared" ref="A571" si="90">CONCATENATE(K571," - ",L571)</f>
        <v xml:space="preserve"> - </v>
      </c>
      <c r="B571" s="361" t="s">
        <v>80</v>
      </c>
      <c r="C571" s="362"/>
      <c r="D571" s="217"/>
      <c r="E571" s="217"/>
      <c r="F571" s="218"/>
      <c r="G571" s="55" t="s">
        <v>192</v>
      </c>
      <c r="H571" s="220" t="s">
        <v>192</v>
      </c>
      <c r="I571" s="55" t="s">
        <v>192</v>
      </c>
    </row>
    <row r="572" spans="1:9" ht="13.5" thickBot="1" x14ac:dyDescent="0.25">
      <c r="A572" s="359"/>
      <c r="B572" s="363" t="s">
        <v>78</v>
      </c>
      <c r="C572" s="364"/>
      <c r="D572" s="210" t="s">
        <v>74</v>
      </c>
      <c r="E572" s="2" t="s">
        <v>75</v>
      </c>
      <c r="F572" s="4" t="s">
        <v>76</v>
      </c>
      <c r="G572" s="3" t="s">
        <v>74</v>
      </c>
      <c r="H572" s="3" t="s">
        <v>75</v>
      </c>
      <c r="I572" s="3" t="s">
        <v>76</v>
      </c>
    </row>
    <row r="573" spans="1:9" x14ac:dyDescent="0.2">
      <c r="A573" s="359"/>
      <c r="B573" s="365" t="s">
        <v>81</v>
      </c>
      <c r="C573" s="214" t="s">
        <v>74</v>
      </c>
      <c r="D573" s="211"/>
      <c r="E573" s="13"/>
      <c r="F573" s="14"/>
      <c r="G573" s="56" t="s">
        <v>192</v>
      </c>
      <c r="H573" s="56" t="s">
        <v>192</v>
      </c>
      <c r="I573" s="221" t="s">
        <v>192</v>
      </c>
    </row>
    <row r="574" spans="1:9" x14ac:dyDescent="0.2">
      <c r="A574" s="359"/>
      <c r="B574" s="366"/>
      <c r="C574" s="215" t="s">
        <v>75</v>
      </c>
      <c r="D574" s="212"/>
      <c r="E574" s="15"/>
      <c r="F574" s="16"/>
      <c r="G574" s="56" t="s">
        <v>192</v>
      </c>
      <c r="H574" s="219" t="s">
        <v>192</v>
      </c>
      <c r="I574" s="56" t="s">
        <v>192</v>
      </c>
    </row>
    <row r="575" spans="1:9" ht="13.5" thickBot="1" x14ac:dyDescent="0.25">
      <c r="A575" s="360"/>
      <c r="B575" s="367"/>
      <c r="C575" s="216" t="s">
        <v>76</v>
      </c>
      <c r="D575" s="213"/>
      <c r="E575" s="17"/>
      <c r="F575" s="18"/>
      <c r="G575" s="209" t="s">
        <v>192</v>
      </c>
      <c r="H575" s="57" t="s">
        <v>192</v>
      </c>
      <c r="I575" s="57" t="s">
        <v>192</v>
      </c>
    </row>
    <row r="576" spans="1:9" ht="13.5" thickBot="1" x14ac:dyDescent="0.25"/>
    <row r="577" spans="1:9" ht="13.5" thickBot="1" x14ac:dyDescent="0.25">
      <c r="A577" s="3" t="s">
        <v>79</v>
      </c>
      <c r="B577" s="356" t="s">
        <v>82</v>
      </c>
      <c r="C577" s="357"/>
      <c r="D577" s="2" t="s">
        <v>74</v>
      </c>
      <c r="E577" s="2" t="s">
        <v>75</v>
      </c>
      <c r="F577" s="4" t="s">
        <v>76</v>
      </c>
      <c r="G577" s="2" t="s">
        <v>74</v>
      </c>
      <c r="H577" s="3" t="s">
        <v>75</v>
      </c>
      <c r="I577" s="4" t="s">
        <v>76</v>
      </c>
    </row>
    <row r="578" spans="1:9" ht="13.5" thickBot="1" x14ac:dyDescent="0.25">
      <c r="A578" s="358" t="str">
        <f t="shared" ref="A578" si="91">CONCATENATE(K578," - ",L578)</f>
        <v xml:space="preserve"> - </v>
      </c>
      <c r="B578" s="361" t="s">
        <v>80</v>
      </c>
      <c r="C578" s="362"/>
      <c r="D578" s="217"/>
      <c r="E578" s="217"/>
      <c r="F578" s="218"/>
      <c r="G578" s="55" t="s">
        <v>192</v>
      </c>
      <c r="H578" s="220" t="s">
        <v>192</v>
      </c>
      <c r="I578" s="55" t="s">
        <v>192</v>
      </c>
    </row>
    <row r="579" spans="1:9" ht="13.5" thickBot="1" x14ac:dyDescent="0.25">
      <c r="A579" s="359"/>
      <c r="B579" s="363" t="s">
        <v>78</v>
      </c>
      <c r="C579" s="364"/>
      <c r="D579" s="210" t="s">
        <v>74</v>
      </c>
      <c r="E579" s="2" t="s">
        <v>75</v>
      </c>
      <c r="F579" s="4" t="s">
        <v>76</v>
      </c>
      <c r="G579" s="3" t="s">
        <v>74</v>
      </c>
      <c r="H579" s="3" t="s">
        <v>75</v>
      </c>
      <c r="I579" s="3" t="s">
        <v>76</v>
      </c>
    </row>
    <row r="580" spans="1:9" x14ac:dyDescent="0.2">
      <c r="A580" s="359"/>
      <c r="B580" s="365" t="s">
        <v>81</v>
      </c>
      <c r="C580" s="214" t="s">
        <v>74</v>
      </c>
      <c r="D580" s="211"/>
      <c r="E580" s="13"/>
      <c r="F580" s="14"/>
      <c r="G580" s="56" t="s">
        <v>192</v>
      </c>
      <c r="H580" s="56" t="s">
        <v>192</v>
      </c>
      <c r="I580" s="221" t="s">
        <v>192</v>
      </c>
    </row>
    <row r="581" spans="1:9" x14ac:dyDescent="0.2">
      <c r="A581" s="359"/>
      <c r="B581" s="366"/>
      <c r="C581" s="215" t="s">
        <v>75</v>
      </c>
      <c r="D581" s="212"/>
      <c r="E581" s="15"/>
      <c r="F581" s="16"/>
      <c r="G581" s="56" t="s">
        <v>192</v>
      </c>
      <c r="H581" s="219" t="s">
        <v>192</v>
      </c>
      <c r="I581" s="56" t="s">
        <v>192</v>
      </c>
    </row>
    <row r="582" spans="1:9" ht="13.5" thickBot="1" x14ac:dyDescent="0.25">
      <c r="A582" s="360"/>
      <c r="B582" s="367"/>
      <c r="C582" s="216" t="s">
        <v>76</v>
      </c>
      <c r="D582" s="213"/>
      <c r="E582" s="17"/>
      <c r="F582" s="18"/>
      <c r="G582" s="209" t="s">
        <v>192</v>
      </c>
      <c r="H582" s="57" t="s">
        <v>192</v>
      </c>
      <c r="I582" s="57" t="s">
        <v>192</v>
      </c>
    </row>
    <row r="583" spans="1:9" ht="13.5" thickBot="1" x14ac:dyDescent="0.25"/>
    <row r="584" spans="1:9" ht="13.5" thickBot="1" x14ac:dyDescent="0.25">
      <c r="A584" s="3" t="s">
        <v>79</v>
      </c>
      <c r="B584" s="356" t="s">
        <v>82</v>
      </c>
      <c r="C584" s="357"/>
      <c r="D584" s="2" t="s">
        <v>74</v>
      </c>
      <c r="E584" s="2" t="s">
        <v>75</v>
      </c>
      <c r="F584" s="4" t="s">
        <v>76</v>
      </c>
      <c r="G584" s="2" t="s">
        <v>74</v>
      </c>
      <c r="H584" s="3" t="s">
        <v>75</v>
      </c>
      <c r="I584" s="4" t="s">
        <v>76</v>
      </c>
    </row>
    <row r="585" spans="1:9" ht="13.5" thickBot="1" x14ac:dyDescent="0.25">
      <c r="A585" s="358" t="str">
        <f t="shared" ref="A585" si="92">CONCATENATE(K585," - ",L585)</f>
        <v xml:space="preserve"> - </v>
      </c>
      <c r="B585" s="361" t="s">
        <v>80</v>
      </c>
      <c r="C585" s="362"/>
      <c r="D585" s="217"/>
      <c r="E585" s="217"/>
      <c r="F585" s="218"/>
      <c r="G585" s="55" t="s">
        <v>192</v>
      </c>
      <c r="H585" s="220" t="s">
        <v>192</v>
      </c>
      <c r="I585" s="55" t="s">
        <v>192</v>
      </c>
    </row>
    <row r="586" spans="1:9" ht="13.5" thickBot="1" x14ac:dyDescent="0.25">
      <c r="A586" s="359"/>
      <c r="B586" s="363" t="s">
        <v>78</v>
      </c>
      <c r="C586" s="364"/>
      <c r="D586" s="210" t="s">
        <v>74</v>
      </c>
      <c r="E586" s="2" t="s">
        <v>75</v>
      </c>
      <c r="F586" s="4" t="s">
        <v>76</v>
      </c>
      <c r="G586" s="3" t="s">
        <v>74</v>
      </c>
      <c r="H586" s="3" t="s">
        <v>75</v>
      </c>
      <c r="I586" s="3" t="s">
        <v>76</v>
      </c>
    </row>
    <row r="587" spans="1:9" x14ac:dyDescent="0.2">
      <c r="A587" s="359"/>
      <c r="B587" s="365" t="s">
        <v>81</v>
      </c>
      <c r="C587" s="214" t="s">
        <v>74</v>
      </c>
      <c r="D587" s="211"/>
      <c r="E587" s="13"/>
      <c r="F587" s="14"/>
      <c r="G587" s="56" t="s">
        <v>192</v>
      </c>
      <c r="H587" s="56" t="s">
        <v>192</v>
      </c>
      <c r="I587" s="221" t="s">
        <v>192</v>
      </c>
    </row>
    <row r="588" spans="1:9" x14ac:dyDescent="0.2">
      <c r="A588" s="359"/>
      <c r="B588" s="366"/>
      <c r="C588" s="215" t="s">
        <v>75</v>
      </c>
      <c r="D588" s="212"/>
      <c r="E588" s="15"/>
      <c r="F588" s="16"/>
      <c r="G588" s="56" t="s">
        <v>192</v>
      </c>
      <c r="H588" s="219" t="s">
        <v>192</v>
      </c>
      <c r="I588" s="56" t="s">
        <v>192</v>
      </c>
    </row>
    <row r="589" spans="1:9" ht="13.5" thickBot="1" x14ac:dyDescent="0.25">
      <c r="A589" s="360"/>
      <c r="B589" s="367"/>
      <c r="C589" s="216" t="s">
        <v>76</v>
      </c>
      <c r="D589" s="213"/>
      <c r="E589" s="17"/>
      <c r="F589" s="18"/>
      <c r="G589" s="209" t="s">
        <v>192</v>
      </c>
      <c r="H589" s="57" t="s">
        <v>192</v>
      </c>
      <c r="I589" s="57" t="s">
        <v>192</v>
      </c>
    </row>
    <row r="590" spans="1:9" ht="13.5" thickBot="1" x14ac:dyDescent="0.25"/>
    <row r="591" spans="1:9" ht="13.5" thickBot="1" x14ac:dyDescent="0.25">
      <c r="A591" s="3" t="s">
        <v>79</v>
      </c>
      <c r="B591" s="356" t="s">
        <v>82</v>
      </c>
      <c r="C591" s="357"/>
      <c r="D591" s="2" t="s">
        <v>74</v>
      </c>
      <c r="E591" s="2" t="s">
        <v>75</v>
      </c>
      <c r="F591" s="4" t="s">
        <v>76</v>
      </c>
      <c r="G591" s="2" t="s">
        <v>74</v>
      </c>
      <c r="H591" s="3" t="s">
        <v>75</v>
      </c>
      <c r="I591" s="4" t="s">
        <v>76</v>
      </c>
    </row>
    <row r="592" spans="1:9" ht="13.5" thickBot="1" x14ac:dyDescent="0.25">
      <c r="A592" s="358" t="str">
        <f t="shared" ref="A592" si="93">CONCATENATE(K592," - ",L592)</f>
        <v xml:space="preserve"> - </v>
      </c>
      <c r="B592" s="361" t="s">
        <v>80</v>
      </c>
      <c r="C592" s="362"/>
      <c r="D592" s="217"/>
      <c r="E592" s="217"/>
      <c r="F592" s="218"/>
      <c r="G592" s="55" t="s">
        <v>192</v>
      </c>
      <c r="H592" s="220" t="s">
        <v>192</v>
      </c>
      <c r="I592" s="55" t="s">
        <v>192</v>
      </c>
    </row>
    <row r="593" spans="1:9" ht="13.5" thickBot="1" x14ac:dyDescent="0.25">
      <c r="A593" s="359"/>
      <c r="B593" s="363" t="s">
        <v>78</v>
      </c>
      <c r="C593" s="364"/>
      <c r="D593" s="210" t="s">
        <v>74</v>
      </c>
      <c r="E593" s="2" t="s">
        <v>75</v>
      </c>
      <c r="F593" s="4" t="s">
        <v>76</v>
      </c>
      <c r="G593" s="3" t="s">
        <v>74</v>
      </c>
      <c r="H593" s="3" t="s">
        <v>75</v>
      </c>
      <c r="I593" s="3" t="s">
        <v>76</v>
      </c>
    </row>
    <row r="594" spans="1:9" x14ac:dyDescent="0.2">
      <c r="A594" s="359"/>
      <c r="B594" s="365" t="s">
        <v>81</v>
      </c>
      <c r="C594" s="214" t="s">
        <v>74</v>
      </c>
      <c r="D594" s="211"/>
      <c r="E594" s="13"/>
      <c r="F594" s="14"/>
      <c r="G594" s="56" t="s">
        <v>192</v>
      </c>
      <c r="H594" s="56" t="s">
        <v>192</v>
      </c>
      <c r="I594" s="221" t="s">
        <v>192</v>
      </c>
    </row>
    <row r="595" spans="1:9" x14ac:dyDescent="0.2">
      <c r="A595" s="359"/>
      <c r="B595" s="366"/>
      <c r="C595" s="215" t="s">
        <v>75</v>
      </c>
      <c r="D595" s="212"/>
      <c r="E595" s="15"/>
      <c r="F595" s="16"/>
      <c r="G595" s="56" t="s">
        <v>192</v>
      </c>
      <c r="H595" s="219" t="s">
        <v>192</v>
      </c>
      <c r="I595" s="56" t="s">
        <v>192</v>
      </c>
    </row>
    <row r="596" spans="1:9" ht="13.5" thickBot="1" x14ac:dyDescent="0.25">
      <c r="A596" s="360"/>
      <c r="B596" s="367"/>
      <c r="C596" s="216" t="s">
        <v>76</v>
      </c>
      <c r="D596" s="213"/>
      <c r="E596" s="17"/>
      <c r="F596" s="18"/>
      <c r="G596" s="209" t="s">
        <v>192</v>
      </c>
      <c r="H596" s="57" t="s">
        <v>192</v>
      </c>
      <c r="I596" s="57" t="s">
        <v>192</v>
      </c>
    </row>
    <row r="597" spans="1:9" ht="13.5" thickBot="1" x14ac:dyDescent="0.25"/>
    <row r="598" spans="1:9" ht="13.5" thickBot="1" x14ac:dyDescent="0.25">
      <c r="A598" s="3" t="s">
        <v>79</v>
      </c>
      <c r="B598" s="356" t="s">
        <v>82</v>
      </c>
      <c r="C598" s="357"/>
      <c r="D598" s="2" t="s">
        <v>74</v>
      </c>
      <c r="E598" s="2" t="s">
        <v>75</v>
      </c>
      <c r="F598" s="4" t="s">
        <v>76</v>
      </c>
      <c r="G598" s="2" t="s">
        <v>74</v>
      </c>
      <c r="H598" s="3" t="s">
        <v>75</v>
      </c>
      <c r="I598" s="4" t="s">
        <v>76</v>
      </c>
    </row>
    <row r="599" spans="1:9" ht="13.5" thickBot="1" x14ac:dyDescent="0.25">
      <c r="A599" s="358" t="str">
        <f t="shared" ref="A599" si="94">CONCATENATE(K599," - ",L599)</f>
        <v xml:space="preserve"> - </v>
      </c>
      <c r="B599" s="361" t="s">
        <v>80</v>
      </c>
      <c r="C599" s="362"/>
      <c r="D599" s="217"/>
      <c r="E599" s="217"/>
      <c r="F599" s="218"/>
      <c r="G599" s="55" t="s">
        <v>192</v>
      </c>
      <c r="H599" s="220" t="s">
        <v>192</v>
      </c>
      <c r="I599" s="55" t="s">
        <v>192</v>
      </c>
    </row>
    <row r="600" spans="1:9" ht="13.5" thickBot="1" x14ac:dyDescent="0.25">
      <c r="A600" s="359"/>
      <c r="B600" s="363" t="s">
        <v>78</v>
      </c>
      <c r="C600" s="364"/>
      <c r="D600" s="210" t="s">
        <v>74</v>
      </c>
      <c r="E600" s="2" t="s">
        <v>75</v>
      </c>
      <c r="F600" s="4" t="s">
        <v>76</v>
      </c>
      <c r="G600" s="3" t="s">
        <v>74</v>
      </c>
      <c r="H600" s="3" t="s">
        <v>75</v>
      </c>
      <c r="I600" s="3" t="s">
        <v>76</v>
      </c>
    </row>
    <row r="601" spans="1:9" x14ac:dyDescent="0.2">
      <c r="A601" s="359"/>
      <c r="B601" s="365" t="s">
        <v>81</v>
      </c>
      <c r="C601" s="214" t="s">
        <v>74</v>
      </c>
      <c r="D601" s="211"/>
      <c r="E601" s="13"/>
      <c r="F601" s="14"/>
      <c r="G601" s="56" t="s">
        <v>192</v>
      </c>
      <c r="H601" s="56" t="s">
        <v>192</v>
      </c>
      <c r="I601" s="221" t="s">
        <v>192</v>
      </c>
    </row>
    <row r="602" spans="1:9" x14ac:dyDescent="0.2">
      <c r="A602" s="359"/>
      <c r="B602" s="366"/>
      <c r="C602" s="215" t="s">
        <v>75</v>
      </c>
      <c r="D602" s="212"/>
      <c r="E602" s="15"/>
      <c r="F602" s="16"/>
      <c r="G602" s="56" t="s">
        <v>192</v>
      </c>
      <c r="H602" s="219" t="s">
        <v>192</v>
      </c>
      <c r="I602" s="56" t="s">
        <v>192</v>
      </c>
    </row>
    <row r="603" spans="1:9" ht="13.5" thickBot="1" x14ac:dyDescent="0.25">
      <c r="A603" s="360"/>
      <c r="B603" s="367"/>
      <c r="C603" s="216" t="s">
        <v>76</v>
      </c>
      <c r="D603" s="213"/>
      <c r="E603" s="17"/>
      <c r="F603" s="18"/>
      <c r="G603" s="209" t="s">
        <v>192</v>
      </c>
      <c r="H603" s="57" t="s">
        <v>192</v>
      </c>
      <c r="I603" s="57" t="s">
        <v>192</v>
      </c>
    </row>
    <row r="604" spans="1:9" ht="13.5" thickBot="1" x14ac:dyDescent="0.25"/>
    <row r="605" spans="1:9" ht="13.5" thickBot="1" x14ac:dyDescent="0.25">
      <c r="A605" s="3" t="s">
        <v>79</v>
      </c>
      <c r="B605" s="356" t="s">
        <v>82</v>
      </c>
      <c r="C605" s="357"/>
      <c r="D605" s="2" t="s">
        <v>74</v>
      </c>
      <c r="E605" s="2" t="s">
        <v>75</v>
      </c>
      <c r="F605" s="4" t="s">
        <v>76</v>
      </c>
      <c r="G605" s="2" t="s">
        <v>74</v>
      </c>
      <c r="H605" s="3" t="s">
        <v>75</v>
      </c>
      <c r="I605" s="4" t="s">
        <v>76</v>
      </c>
    </row>
    <row r="606" spans="1:9" ht="13.5" thickBot="1" x14ac:dyDescent="0.25">
      <c r="A606" s="358" t="str">
        <f t="shared" ref="A606" si="95">CONCATENATE(K606," - ",L606)</f>
        <v xml:space="preserve"> - </v>
      </c>
      <c r="B606" s="361" t="s">
        <v>80</v>
      </c>
      <c r="C606" s="362"/>
      <c r="D606" s="217"/>
      <c r="E606" s="217"/>
      <c r="F606" s="218"/>
      <c r="G606" s="55" t="s">
        <v>192</v>
      </c>
      <c r="H606" s="220" t="s">
        <v>192</v>
      </c>
      <c r="I606" s="55" t="s">
        <v>192</v>
      </c>
    </row>
    <row r="607" spans="1:9" ht="13.5" thickBot="1" x14ac:dyDescent="0.25">
      <c r="A607" s="359"/>
      <c r="B607" s="363" t="s">
        <v>78</v>
      </c>
      <c r="C607" s="364"/>
      <c r="D607" s="210" t="s">
        <v>74</v>
      </c>
      <c r="E607" s="2" t="s">
        <v>75</v>
      </c>
      <c r="F607" s="4" t="s">
        <v>76</v>
      </c>
      <c r="G607" s="3" t="s">
        <v>74</v>
      </c>
      <c r="H607" s="3" t="s">
        <v>75</v>
      </c>
      <c r="I607" s="3" t="s">
        <v>76</v>
      </c>
    </row>
    <row r="608" spans="1:9" x14ac:dyDescent="0.2">
      <c r="A608" s="359"/>
      <c r="B608" s="365" t="s">
        <v>81</v>
      </c>
      <c r="C608" s="214" t="s">
        <v>74</v>
      </c>
      <c r="D608" s="211"/>
      <c r="E608" s="13"/>
      <c r="F608" s="14"/>
      <c r="G608" s="56" t="s">
        <v>192</v>
      </c>
      <c r="H608" s="56" t="s">
        <v>192</v>
      </c>
      <c r="I608" s="221" t="s">
        <v>192</v>
      </c>
    </row>
    <row r="609" spans="1:9" x14ac:dyDescent="0.2">
      <c r="A609" s="359"/>
      <c r="B609" s="366"/>
      <c r="C609" s="215" t="s">
        <v>75</v>
      </c>
      <c r="D609" s="212"/>
      <c r="E609" s="15"/>
      <c r="F609" s="16"/>
      <c r="G609" s="56" t="s">
        <v>192</v>
      </c>
      <c r="H609" s="219" t="s">
        <v>192</v>
      </c>
      <c r="I609" s="56" t="s">
        <v>192</v>
      </c>
    </row>
    <row r="610" spans="1:9" ht="13.5" thickBot="1" x14ac:dyDescent="0.25">
      <c r="A610" s="360"/>
      <c r="B610" s="367"/>
      <c r="C610" s="216" t="s">
        <v>76</v>
      </c>
      <c r="D610" s="213"/>
      <c r="E610" s="17"/>
      <c r="F610" s="18"/>
      <c r="G610" s="209" t="s">
        <v>192</v>
      </c>
      <c r="H610" s="57" t="s">
        <v>192</v>
      </c>
      <c r="I610" s="57" t="s">
        <v>192</v>
      </c>
    </row>
    <row r="611" spans="1:9" ht="13.5" thickBot="1" x14ac:dyDescent="0.25"/>
    <row r="612" spans="1:9" ht="13.5" thickBot="1" x14ac:dyDescent="0.25">
      <c r="A612" s="3" t="s">
        <v>79</v>
      </c>
      <c r="B612" s="356" t="s">
        <v>82</v>
      </c>
      <c r="C612" s="357"/>
      <c r="D612" s="2" t="s">
        <v>74</v>
      </c>
      <c r="E612" s="2" t="s">
        <v>75</v>
      </c>
      <c r="F612" s="4" t="s">
        <v>76</v>
      </c>
      <c r="G612" s="2" t="s">
        <v>74</v>
      </c>
      <c r="H612" s="3" t="s">
        <v>75</v>
      </c>
      <c r="I612" s="4" t="s">
        <v>76</v>
      </c>
    </row>
    <row r="613" spans="1:9" ht="13.5" thickBot="1" x14ac:dyDescent="0.25">
      <c r="A613" s="358" t="str">
        <f t="shared" ref="A613" si="96">CONCATENATE(K613," - ",L613)</f>
        <v xml:space="preserve"> - </v>
      </c>
      <c r="B613" s="361" t="s">
        <v>80</v>
      </c>
      <c r="C613" s="362"/>
      <c r="D613" s="217"/>
      <c r="E613" s="217"/>
      <c r="F613" s="218"/>
      <c r="G613" s="55" t="s">
        <v>192</v>
      </c>
      <c r="H613" s="220" t="s">
        <v>192</v>
      </c>
      <c r="I613" s="55" t="s">
        <v>192</v>
      </c>
    </row>
    <row r="614" spans="1:9" ht="13.5" thickBot="1" x14ac:dyDescent="0.25">
      <c r="A614" s="359"/>
      <c r="B614" s="363" t="s">
        <v>78</v>
      </c>
      <c r="C614" s="364"/>
      <c r="D614" s="210" t="s">
        <v>74</v>
      </c>
      <c r="E614" s="2" t="s">
        <v>75</v>
      </c>
      <c r="F614" s="4" t="s">
        <v>76</v>
      </c>
      <c r="G614" s="3" t="s">
        <v>74</v>
      </c>
      <c r="H614" s="3" t="s">
        <v>75</v>
      </c>
      <c r="I614" s="3" t="s">
        <v>76</v>
      </c>
    </row>
    <row r="615" spans="1:9" x14ac:dyDescent="0.2">
      <c r="A615" s="359"/>
      <c r="B615" s="365" t="s">
        <v>81</v>
      </c>
      <c r="C615" s="214" t="s">
        <v>74</v>
      </c>
      <c r="D615" s="211"/>
      <c r="E615" s="13"/>
      <c r="F615" s="14"/>
      <c r="G615" s="56" t="s">
        <v>192</v>
      </c>
      <c r="H615" s="56" t="s">
        <v>192</v>
      </c>
      <c r="I615" s="221" t="s">
        <v>192</v>
      </c>
    </row>
    <row r="616" spans="1:9" x14ac:dyDescent="0.2">
      <c r="A616" s="359"/>
      <c r="B616" s="366"/>
      <c r="C616" s="215" t="s">
        <v>75</v>
      </c>
      <c r="D616" s="212"/>
      <c r="E616" s="15"/>
      <c r="F616" s="16"/>
      <c r="G616" s="56" t="s">
        <v>192</v>
      </c>
      <c r="H616" s="219" t="s">
        <v>192</v>
      </c>
      <c r="I616" s="56" t="s">
        <v>192</v>
      </c>
    </row>
    <row r="617" spans="1:9" ht="13.5" thickBot="1" x14ac:dyDescent="0.25">
      <c r="A617" s="360"/>
      <c r="B617" s="367"/>
      <c r="C617" s="216" t="s">
        <v>76</v>
      </c>
      <c r="D617" s="213"/>
      <c r="E617" s="17"/>
      <c r="F617" s="18"/>
      <c r="G617" s="209" t="s">
        <v>192</v>
      </c>
      <c r="H617" s="57" t="s">
        <v>192</v>
      </c>
      <c r="I617" s="57" t="s">
        <v>192</v>
      </c>
    </row>
    <row r="618" spans="1:9" ht="13.5" thickBot="1" x14ac:dyDescent="0.25"/>
    <row r="619" spans="1:9" ht="13.5" thickBot="1" x14ac:dyDescent="0.25">
      <c r="A619" s="3" t="s">
        <v>79</v>
      </c>
      <c r="B619" s="356" t="s">
        <v>82</v>
      </c>
      <c r="C619" s="357"/>
      <c r="D619" s="2" t="s">
        <v>74</v>
      </c>
      <c r="E619" s="2" t="s">
        <v>75</v>
      </c>
      <c r="F619" s="4" t="s">
        <v>76</v>
      </c>
      <c r="G619" s="2" t="s">
        <v>74</v>
      </c>
      <c r="H619" s="3" t="s">
        <v>75</v>
      </c>
      <c r="I619" s="4" t="s">
        <v>76</v>
      </c>
    </row>
    <row r="620" spans="1:9" ht="13.5" thickBot="1" x14ac:dyDescent="0.25">
      <c r="A620" s="358" t="str">
        <f t="shared" ref="A620" si="97">CONCATENATE(K620," - ",L620)</f>
        <v xml:space="preserve"> - </v>
      </c>
      <c r="B620" s="361" t="s">
        <v>80</v>
      </c>
      <c r="C620" s="362"/>
      <c r="D620" s="217"/>
      <c r="E620" s="217"/>
      <c r="F620" s="218"/>
      <c r="G620" s="55" t="s">
        <v>192</v>
      </c>
      <c r="H620" s="220" t="s">
        <v>192</v>
      </c>
      <c r="I620" s="55" t="s">
        <v>192</v>
      </c>
    </row>
    <row r="621" spans="1:9" ht="13.5" thickBot="1" x14ac:dyDescent="0.25">
      <c r="A621" s="359"/>
      <c r="B621" s="363" t="s">
        <v>78</v>
      </c>
      <c r="C621" s="364"/>
      <c r="D621" s="210" t="s">
        <v>74</v>
      </c>
      <c r="E621" s="2" t="s">
        <v>75</v>
      </c>
      <c r="F621" s="4" t="s">
        <v>76</v>
      </c>
      <c r="G621" s="3" t="s">
        <v>74</v>
      </c>
      <c r="H621" s="3" t="s">
        <v>75</v>
      </c>
      <c r="I621" s="3" t="s">
        <v>76</v>
      </c>
    </row>
    <row r="622" spans="1:9" x14ac:dyDescent="0.2">
      <c r="A622" s="359"/>
      <c r="B622" s="365" t="s">
        <v>81</v>
      </c>
      <c r="C622" s="214" t="s">
        <v>74</v>
      </c>
      <c r="D622" s="211"/>
      <c r="E622" s="13"/>
      <c r="F622" s="14"/>
      <c r="G622" s="56" t="s">
        <v>192</v>
      </c>
      <c r="H622" s="56" t="s">
        <v>192</v>
      </c>
      <c r="I622" s="221" t="s">
        <v>192</v>
      </c>
    </row>
    <row r="623" spans="1:9" x14ac:dyDescent="0.2">
      <c r="A623" s="359"/>
      <c r="B623" s="366"/>
      <c r="C623" s="215" t="s">
        <v>75</v>
      </c>
      <c r="D623" s="212"/>
      <c r="E623" s="15"/>
      <c r="F623" s="16"/>
      <c r="G623" s="56" t="s">
        <v>192</v>
      </c>
      <c r="H623" s="219" t="s">
        <v>192</v>
      </c>
      <c r="I623" s="56" t="s">
        <v>192</v>
      </c>
    </row>
    <row r="624" spans="1:9" ht="13.5" thickBot="1" x14ac:dyDescent="0.25">
      <c r="A624" s="360"/>
      <c r="B624" s="367"/>
      <c r="C624" s="216" t="s">
        <v>76</v>
      </c>
      <c r="D624" s="213"/>
      <c r="E624" s="17"/>
      <c r="F624" s="18"/>
      <c r="G624" s="209" t="s">
        <v>192</v>
      </c>
      <c r="H624" s="57" t="s">
        <v>192</v>
      </c>
      <c r="I624" s="57" t="s">
        <v>192</v>
      </c>
    </row>
    <row r="625" spans="1:9" ht="13.5" thickBot="1" x14ac:dyDescent="0.25"/>
    <row r="626" spans="1:9" ht="13.5" thickBot="1" x14ac:dyDescent="0.25">
      <c r="A626" s="3" t="s">
        <v>79</v>
      </c>
      <c r="B626" s="356" t="s">
        <v>82</v>
      </c>
      <c r="C626" s="357"/>
      <c r="D626" s="2" t="s">
        <v>74</v>
      </c>
      <c r="E626" s="2" t="s">
        <v>75</v>
      </c>
      <c r="F626" s="4" t="s">
        <v>76</v>
      </c>
      <c r="G626" s="2" t="s">
        <v>74</v>
      </c>
      <c r="H626" s="3" t="s">
        <v>75</v>
      </c>
      <c r="I626" s="4" t="s">
        <v>76</v>
      </c>
    </row>
    <row r="627" spans="1:9" ht="13.5" thickBot="1" x14ac:dyDescent="0.25">
      <c r="A627" s="358" t="str">
        <f t="shared" ref="A627" si="98">CONCATENATE(K627," - ",L627)</f>
        <v xml:space="preserve"> - </v>
      </c>
      <c r="B627" s="361" t="s">
        <v>80</v>
      </c>
      <c r="C627" s="362"/>
      <c r="D627" s="217"/>
      <c r="E627" s="217"/>
      <c r="F627" s="218"/>
      <c r="G627" s="55" t="s">
        <v>192</v>
      </c>
      <c r="H627" s="220" t="s">
        <v>192</v>
      </c>
      <c r="I627" s="55" t="s">
        <v>192</v>
      </c>
    </row>
    <row r="628" spans="1:9" ht="13.5" thickBot="1" x14ac:dyDescent="0.25">
      <c r="A628" s="359"/>
      <c r="B628" s="363" t="s">
        <v>78</v>
      </c>
      <c r="C628" s="364"/>
      <c r="D628" s="210" t="s">
        <v>74</v>
      </c>
      <c r="E628" s="2" t="s">
        <v>75</v>
      </c>
      <c r="F628" s="4" t="s">
        <v>76</v>
      </c>
      <c r="G628" s="3" t="s">
        <v>74</v>
      </c>
      <c r="H628" s="3" t="s">
        <v>75</v>
      </c>
      <c r="I628" s="3" t="s">
        <v>76</v>
      </c>
    </row>
    <row r="629" spans="1:9" x14ac:dyDescent="0.2">
      <c r="A629" s="359"/>
      <c r="B629" s="365" t="s">
        <v>81</v>
      </c>
      <c r="C629" s="214" t="s">
        <v>74</v>
      </c>
      <c r="D629" s="211"/>
      <c r="E629" s="13"/>
      <c r="F629" s="14"/>
      <c r="G629" s="56" t="s">
        <v>192</v>
      </c>
      <c r="H629" s="56" t="s">
        <v>192</v>
      </c>
      <c r="I629" s="221" t="s">
        <v>192</v>
      </c>
    </row>
    <row r="630" spans="1:9" x14ac:dyDescent="0.2">
      <c r="A630" s="359"/>
      <c r="B630" s="366"/>
      <c r="C630" s="215" t="s">
        <v>75</v>
      </c>
      <c r="D630" s="212"/>
      <c r="E630" s="15"/>
      <c r="F630" s="16"/>
      <c r="G630" s="56" t="s">
        <v>192</v>
      </c>
      <c r="H630" s="219" t="s">
        <v>192</v>
      </c>
      <c r="I630" s="56" t="s">
        <v>192</v>
      </c>
    </row>
    <row r="631" spans="1:9" ht="13.5" thickBot="1" x14ac:dyDescent="0.25">
      <c r="A631" s="360"/>
      <c r="B631" s="367"/>
      <c r="C631" s="216" t="s">
        <v>76</v>
      </c>
      <c r="D631" s="213"/>
      <c r="E631" s="17"/>
      <c r="F631" s="18"/>
      <c r="G631" s="209" t="s">
        <v>192</v>
      </c>
      <c r="H631" s="57" t="s">
        <v>192</v>
      </c>
      <c r="I631" s="57" t="s">
        <v>192</v>
      </c>
    </row>
    <row r="632" spans="1:9" ht="13.5" thickBot="1" x14ac:dyDescent="0.25"/>
    <row r="633" spans="1:9" ht="13.5" thickBot="1" x14ac:dyDescent="0.25">
      <c r="A633" s="3" t="s">
        <v>79</v>
      </c>
      <c r="B633" s="356" t="s">
        <v>82</v>
      </c>
      <c r="C633" s="357"/>
      <c r="D633" s="2" t="s">
        <v>74</v>
      </c>
      <c r="E633" s="2" t="s">
        <v>75</v>
      </c>
      <c r="F633" s="4" t="s">
        <v>76</v>
      </c>
      <c r="G633" s="2" t="s">
        <v>74</v>
      </c>
      <c r="H633" s="3" t="s">
        <v>75</v>
      </c>
      <c r="I633" s="4" t="s">
        <v>76</v>
      </c>
    </row>
    <row r="634" spans="1:9" ht="13.5" thickBot="1" x14ac:dyDescent="0.25">
      <c r="A634" s="358" t="str">
        <f t="shared" ref="A634" si="99">CONCATENATE(K634," - ",L634)</f>
        <v xml:space="preserve"> - </v>
      </c>
      <c r="B634" s="361" t="s">
        <v>80</v>
      </c>
      <c r="C634" s="362"/>
      <c r="D634" s="217"/>
      <c r="E634" s="217"/>
      <c r="F634" s="218"/>
      <c r="G634" s="55" t="s">
        <v>192</v>
      </c>
      <c r="H634" s="220" t="s">
        <v>192</v>
      </c>
      <c r="I634" s="55" t="s">
        <v>192</v>
      </c>
    </row>
    <row r="635" spans="1:9" ht="13.5" thickBot="1" x14ac:dyDescent="0.25">
      <c r="A635" s="359"/>
      <c r="B635" s="363" t="s">
        <v>78</v>
      </c>
      <c r="C635" s="364"/>
      <c r="D635" s="210" t="s">
        <v>74</v>
      </c>
      <c r="E635" s="2" t="s">
        <v>75</v>
      </c>
      <c r="F635" s="4" t="s">
        <v>76</v>
      </c>
      <c r="G635" s="3" t="s">
        <v>74</v>
      </c>
      <c r="H635" s="3" t="s">
        <v>75</v>
      </c>
      <c r="I635" s="3" t="s">
        <v>76</v>
      </c>
    </row>
    <row r="636" spans="1:9" x14ac:dyDescent="0.2">
      <c r="A636" s="359"/>
      <c r="B636" s="365" t="s">
        <v>81</v>
      </c>
      <c r="C636" s="214" t="s">
        <v>74</v>
      </c>
      <c r="D636" s="211"/>
      <c r="E636" s="13"/>
      <c r="F636" s="14"/>
      <c r="G636" s="56" t="s">
        <v>192</v>
      </c>
      <c r="H636" s="56" t="s">
        <v>192</v>
      </c>
      <c r="I636" s="221" t="s">
        <v>192</v>
      </c>
    </row>
    <row r="637" spans="1:9" x14ac:dyDescent="0.2">
      <c r="A637" s="359"/>
      <c r="B637" s="366"/>
      <c r="C637" s="215" t="s">
        <v>75</v>
      </c>
      <c r="D637" s="212"/>
      <c r="E637" s="15"/>
      <c r="F637" s="16"/>
      <c r="G637" s="56" t="s">
        <v>192</v>
      </c>
      <c r="H637" s="219" t="s">
        <v>192</v>
      </c>
      <c r="I637" s="56" t="s">
        <v>192</v>
      </c>
    </row>
    <row r="638" spans="1:9" ht="13.5" thickBot="1" x14ac:dyDescent="0.25">
      <c r="A638" s="360"/>
      <c r="B638" s="367"/>
      <c r="C638" s="216" t="s">
        <v>76</v>
      </c>
      <c r="D638" s="213"/>
      <c r="E638" s="17"/>
      <c r="F638" s="18"/>
      <c r="G638" s="209" t="s">
        <v>192</v>
      </c>
      <c r="H638" s="57" t="s">
        <v>192</v>
      </c>
      <c r="I638" s="57" t="s">
        <v>192</v>
      </c>
    </row>
    <row r="639" spans="1:9" ht="13.5" thickBot="1" x14ac:dyDescent="0.25"/>
    <row r="640" spans="1:9" ht="13.5" thickBot="1" x14ac:dyDescent="0.25">
      <c r="A640" s="3" t="s">
        <v>79</v>
      </c>
      <c r="B640" s="356" t="s">
        <v>82</v>
      </c>
      <c r="C640" s="357"/>
      <c r="D640" s="2" t="s">
        <v>74</v>
      </c>
      <c r="E640" s="2" t="s">
        <v>75</v>
      </c>
      <c r="F640" s="4" t="s">
        <v>76</v>
      </c>
      <c r="G640" s="2" t="s">
        <v>74</v>
      </c>
      <c r="H640" s="3" t="s">
        <v>75</v>
      </c>
      <c r="I640" s="4" t="s">
        <v>76</v>
      </c>
    </row>
    <row r="641" spans="1:9" ht="13.5" thickBot="1" x14ac:dyDescent="0.25">
      <c r="A641" s="358" t="str">
        <f t="shared" ref="A641" si="100">CONCATENATE(K641," - ",L641)</f>
        <v xml:space="preserve"> - </v>
      </c>
      <c r="B641" s="361" t="s">
        <v>80</v>
      </c>
      <c r="C641" s="362"/>
      <c r="D641" s="217"/>
      <c r="E641" s="217"/>
      <c r="F641" s="218"/>
      <c r="G641" s="55" t="s">
        <v>192</v>
      </c>
      <c r="H641" s="220" t="s">
        <v>192</v>
      </c>
      <c r="I641" s="55" t="s">
        <v>192</v>
      </c>
    </row>
    <row r="642" spans="1:9" ht="13.5" thickBot="1" x14ac:dyDescent="0.25">
      <c r="A642" s="359"/>
      <c r="B642" s="363" t="s">
        <v>78</v>
      </c>
      <c r="C642" s="364"/>
      <c r="D642" s="210" t="s">
        <v>74</v>
      </c>
      <c r="E642" s="2" t="s">
        <v>75</v>
      </c>
      <c r="F642" s="4" t="s">
        <v>76</v>
      </c>
      <c r="G642" s="3" t="s">
        <v>74</v>
      </c>
      <c r="H642" s="3" t="s">
        <v>75</v>
      </c>
      <c r="I642" s="3" t="s">
        <v>76</v>
      </c>
    </row>
    <row r="643" spans="1:9" x14ac:dyDescent="0.2">
      <c r="A643" s="359"/>
      <c r="B643" s="365" t="s">
        <v>81</v>
      </c>
      <c r="C643" s="214" t="s">
        <v>74</v>
      </c>
      <c r="D643" s="211"/>
      <c r="E643" s="13"/>
      <c r="F643" s="14"/>
      <c r="G643" s="56" t="s">
        <v>192</v>
      </c>
      <c r="H643" s="56" t="s">
        <v>192</v>
      </c>
      <c r="I643" s="221" t="s">
        <v>192</v>
      </c>
    </row>
    <row r="644" spans="1:9" x14ac:dyDescent="0.2">
      <c r="A644" s="359"/>
      <c r="B644" s="366"/>
      <c r="C644" s="215" t="s">
        <v>75</v>
      </c>
      <c r="D644" s="212"/>
      <c r="E644" s="15"/>
      <c r="F644" s="16"/>
      <c r="G644" s="56" t="s">
        <v>192</v>
      </c>
      <c r="H644" s="219" t="s">
        <v>192</v>
      </c>
      <c r="I644" s="56" t="s">
        <v>192</v>
      </c>
    </row>
    <row r="645" spans="1:9" ht="13.5" thickBot="1" x14ac:dyDescent="0.25">
      <c r="A645" s="360"/>
      <c r="B645" s="367"/>
      <c r="C645" s="216" t="s">
        <v>76</v>
      </c>
      <c r="D645" s="213"/>
      <c r="E645" s="17"/>
      <c r="F645" s="18"/>
      <c r="G645" s="209" t="s">
        <v>192</v>
      </c>
      <c r="H645" s="57" t="s">
        <v>192</v>
      </c>
      <c r="I645" s="57" t="s">
        <v>192</v>
      </c>
    </row>
  </sheetData>
  <sheetProtection formatColumns="0" insertColumns="0" deleteColumns="0"/>
  <mergeCells count="582">
    <mergeCell ref="B3:C3"/>
    <mergeCell ref="A4:A8"/>
    <mergeCell ref="B4:C4"/>
    <mergeCell ref="B5:C5"/>
    <mergeCell ref="B6:B8"/>
    <mergeCell ref="G1:I1"/>
    <mergeCell ref="A1:F1"/>
    <mergeCell ref="K4:K8"/>
    <mergeCell ref="B17:C17"/>
    <mergeCell ref="A18:A22"/>
    <mergeCell ref="B18:C18"/>
    <mergeCell ref="B19:C19"/>
    <mergeCell ref="B20:B22"/>
    <mergeCell ref="B10:C10"/>
    <mergeCell ref="A11:A15"/>
    <mergeCell ref="B11:C11"/>
    <mergeCell ref="B12:C12"/>
    <mergeCell ref="B13:B15"/>
    <mergeCell ref="B31:C31"/>
    <mergeCell ref="A32:A36"/>
    <mergeCell ref="B32:C32"/>
    <mergeCell ref="B33:C33"/>
    <mergeCell ref="B34:B36"/>
    <mergeCell ref="B24:C24"/>
    <mergeCell ref="A25:A29"/>
    <mergeCell ref="B25:C25"/>
    <mergeCell ref="B26:C26"/>
    <mergeCell ref="B27:B29"/>
    <mergeCell ref="B45:C45"/>
    <mergeCell ref="A46:A50"/>
    <mergeCell ref="B46:C46"/>
    <mergeCell ref="B47:C47"/>
    <mergeCell ref="B48:B50"/>
    <mergeCell ref="B38:C38"/>
    <mergeCell ref="A39:A43"/>
    <mergeCell ref="B39:C39"/>
    <mergeCell ref="B40:C40"/>
    <mergeCell ref="B41:B43"/>
    <mergeCell ref="B59:C59"/>
    <mergeCell ref="A60:A64"/>
    <mergeCell ref="B60:C60"/>
    <mergeCell ref="B61:C61"/>
    <mergeCell ref="B62:B64"/>
    <mergeCell ref="B52:C52"/>
    <mergeCell ref="A53:A57"/>
    <mergeCell ref="B53:C53"/>
    <mergeCell ref="B54:C54"/>
    <mergeCell ref="B55:B57"/>
    <mergeCell ref="B73:C73"/>
    <mergeCell ref="A74:A78"/>
    <mergeCell ref="B74:C74"/>
    <mergeCell ref="B75:C75"/>
    <mergeCell ref="B76:B78"/>
    <mergeCell ref="B66:C66"/>
    <mergeCell ref="A67:A71"/>
    <mergeCell ref="B67:C67"/>
    <mergeCell ref="B68:C68"/>
    <mergeCell ref="B69:B71"/>
    <mergeCell ref="B87:C87"/>
    <mergeCell ref="A88:A92"/>
    <mergeCell ref="B88:C88"/>
    <mergeCell ref="B89:C89"/>
    <mergeCell ref="B90:B92"/>
    <mergeCell ref="B80:C80"/>
    <mergeCell ref="A81:A85"/>
    <mergeCell ref="B81:C81"/>
    <mergeCell ref="B82:C82"/>
    <mergeCell ref="B83:B85"/>
    <mergeCell ref="B101:C101"/>
    <mergeCell ref="A102:A106"/>
    <mergeCell ref="B102:C102"/>
    <mergeCell ref="B103:C103"/>
    <mergeCell ref="B104:B106"/>
    <mergeCell ref="B94:C94"/>
    <mergeCell ref="A95:A99"/>
    <mergeCell ref="B95:C95"/>
    <mergeCell ref="B96:C96"/>
    <mergeCell ref="B97:B99"/>
    <mergeCell ref="B115:C115"/>
    <mergeCell ref="A116:A120"/>
    <mergeCell ref="B116:C116"/>
    <mergeCell ref="B117:C117"/>
    <mergeCell ref="B118:B120"/>
    <mergeCell ref="B108:C108"/>
    <mergeCell ref="A109:A113"/>
    <mergeCell ref="B109:C109"/>
    <mergeCell ref="B110:C110"/>
    <mergeCell ref="B111:B113"/>
    <mergeCell ref="B129:C129"/>
    <mergeCell ref="A130:A134"/>
    <mergeCell ref="B130:C130"/>
    <mergeCell ref="B131:C131"/>
    <mergeCell ref="B132:B134"/>
    <mergeCell ref="B122:C122"/>
    <mergeCell ref="A123:A127"/>
    <mergeCell ref="B123:C123"/>
    <mergeCell ref="B124:C124"/>
    <mergeCell ref="B125:B127"/>
    <mergeCell ref="B143:C143"/>
    <mergeCell ref="A144:A148"/>
    <mergeCell ref="B144:C144"/>
    <mergeCell ref="B145:C145"/>
    <mergeCell ref="B146:B148"/>
    <mergeCell ref="B136:C136"/>
    <mergeCell ref="A137:A141"/>
    <mergeCell ref="B137:C137"/>
    <mergeCell ref="B138:C138"/>
    <mergeCell ref="B139:B141"/>
    <mergeCell ref="B157:C157"/>
    <mergeCell ref="A158:A162"/>
    <mergeCell ref="B158:C158"/>
    <mergeCell ref="B159:C159"/>
    <mergeCell ref="B160:B162"/>
    <mergeCell ref="B150:C150"/>
    <mergeCell ref="A151:A155"/>
    <mergeCell ref="B151:C151"/>
    <mergeCell ref="B152:C152"/>
    <mergeCell ref="B153:B155"/>
    <mergeCell ref="B171:C171"/>
    <mergeCell ref="A172:A176"/>
    <mergeCell ref="B172:C172"/>
    <mergeCell ref="B173:C173"/>
    <mergeCell ref="B174:B176"/>
    <mergeCell ref="B164:C164"/>
    <mergeCell ref="A165:A169"/>
    <mergeCell ref="B165:C165"/>
    <mergeCell ref="B166:C166"/>
    <mergeCell ref="B167:B169"/>
    <mergeCell ref="B185:C185"/>
    <mergeCell ref="A186:A190"/>
    <mergeCell ref="B186:C186"/>
    <mergeCell ref="B187:C187"/>
    <mergeCell ref="B188:B190"/>
    <mergeCell ref="B178:C178"/>
    <mergeCell ref="A179:A183"/>
    <mergeCell ref="B179:C179"/>
    <mergeCell ref="B180:C180"/>
    <mergeCell ref="B181:B183"/>
    <mergeCell ref="B199:C199"/>
    <mergeCell ref="A200:A204"/>
    <mergeCell ref="B200:C200"/>
    <mergeCell ref="B201:C201"/>
    <mergeCell ref="B202:B204"/>
    <mergeCell ref="B192:C192"/>
    <mergeCell ref="A193:A197"/>
    <mergeCell ref="B193:C193"/>
    <mergeCell ref="B194:C194"/>
    <mergeCell ref="B195:B197"/>
    <mergeCell ref="B213:C213"/>
    <mergeCell ref="A214:A218"/>
    <mergeCell ref="B214:C214"/>
    <mergeCell ref="B215:C215"/>
    <mergeCell ref="B216:B218"/>
    <mergeCell ref="B206:C206"/>
    <mergeCell ref="A207:A211"/>
    <mergeCell ref="B207:C207"/>
    <mergeCell ref="B208:C208"/>
    <mergeCell ref="B209:B211"/>
    <mergeCell ref="B227:C227"/>
    <mergeCell ref="A228:A232"/>
    <mergeCell ref="B228:C228"/>
    <mergeCell ref="B229:C229"/>
    <mergeCell ref="B230:B232"/>
    <mergeCell ref="B220:C220"/>
    <mergeCell ref="A221:A225"/>
    <mergeCell ref="B221:C221"/>
    <mergeCell ref="B222:C222"/>
    <mergeCell ref="B223:B225"/>
    <mergeCell ref="B241:C241"/>
    <mergeCell ref="A242:A246"/>
    <mergeCell ref="B242:C242"/>
    <mergeCell ref="B243:C243"/>
    <mergeCell ref="B244:B246"/>
    <mergeCell ref="B234:C234"/>
    <mergeCell ref="A235:A239"/>
    <mergeCell ref="B235:C235"/>
    <mergeCell ref="B236:C236"/>
    <mergeCell ref="B237:B239"/>
    <mergeCell ref="B255:C255"/>
    <mergeCell ref="A256:A260"/>
    <mergeCell ref="B256:C256"/>
    <mergeCell ref="B257:C257"/>
    <mergeCell ref="B258:B260"/>
    <mergeCell ref="B248:C248"/>
    <mergeCell ref="A249:A253"/>
    <mergeCell ref="B249:C249"/>
    <mergeCell ref="B250:C250"/>
    <mergeCell ref="B251:B253"/>
    <mergeCell ref="B269:C269"/>
    <mergeCell ref="A270:A274"/>
    <mergeCell ref="B270:C270"/>
    <mergeCell ref="B271:C271"/>
    <mergeCell ref="B272:B274"/>
    <mergeCell ref="B262:C262"/>
    <mergeCell ref="A263:A267"/>
    <mergeCell ref="B263:C263"/>
    <mergeCell ref="B264:C264"/>
    <mergeCell ref="B265:B267"/>
    <mergeCell ref="B283:C283"/>
    <mergeCell ref="A284:A288"/>
    <mergeCell ref="B284:C284"/>
    <mergeCell ref="B285:C285"/>
    <mergeCell ref="B286:B288"/>
    <mergeCell ref="B276:C276"/>
    <mergeCell ref="A277:A281"/>
    <mergeCell ref="B277:C277"/>
    <mergeCell ref="B278:C278"/>
    <mergeCell ref="B279:B281"/>
    <mergeCell ref="B297:C297"/>
    <mergeCell ref="A298:A302"/>
    <mergeCell ref="B298:C298"/>
    <mergeCell ref="B299:C299"/>
    <mergeCell ref="B300:B302"/>
    <mergeCell ref="B290:C290"/>
    <mergeCell ref="A291:A295"/>
    <mergeCell ref="B291:C291"/>
    <mergeCell ref="B292:C292"/>
    <mergeCell ref="B293:B295"/>
    <mergeCell ref="B311:C311"/>
    <mergeCell ref="A312:A316"/>
    <mergeCell ref="B312:C312"/>
    <mergeCell ref="B313:C313"/>
    <mergeCell ref="B314:B316"/>
    <mergeCell ref="B304:C304"/>
    <mergeCell ref="A305:A309"/>
    <mergeCell ref="B305:C305"/>
    <mergeCell ref="B306:C306"/>
    <mergeCell ref="B307:B309"/>
    <mergeCell ref="B325:C325"/>
    <mergeCell ref="A326:A330"/>
    <mergeCell ref="B326:C326"/>
    <mergeCell ref="B327:C327"/>
    <mergeCell ref="B328:B330"/>
    <mergeCell ref="B318:C318"/>
    <mergeCell ref="A319:A323"/>
    <mergeCell ref="B319:C319"/>
    <mergeCell ref="B320:C320"/>
    <mergeCell ref="B321:B323"/>
    <mergeCell ref="B339:C339"/>
    <mergeCell ref="A340:A344"/>
    <mergeCell ref="B340:C340"/>
    <mergeCell ref="B341:C341"/>
    <mergeCell ref="B342:B344"/>
    <mergeCell ref="B332:C332"/>
    <mergeCell ref="A333:A337"/>
    <mergeCell ref="B333:C333"/>
    <mergeCell ref="B334:C334"/>
    <mergeCell ref="B335:B337"/>
    <mergeCell ref="B353:C353"/>
    <mergeCell ref="A354:A358"/>
    <mergeCell ref="B354:C354"/>
    <mergeCell ref="B355:C355"/>
    <mergeCell ref="B356:B358"/>
    <mergeCell ref="B346:C346"/>
    <mergeCell ref="A347:A351"/>
    <mergeCell ref="B347:C347"/>
    <mergeCell ref="B348:C348"/>
    <mergeCell ref="B349:B351"/>
    <mergeCell ref="B367:C367"/>
    <mergeCell ref="A368:A372"/>
    <mergeCell ref="B368:C368"/>
    <mergeCell ref="B369:C369"/>
    <mergeCell ref="B370:B372"/>
    <mergeCell ref="B360:C360"/>
    <mergeCell ref="A361:A365"/>
    <mergeCell ref="B361:C361"/>
    <mergeCell ref="B362:C362"/>
    <mergeCell ref="B363:B365"/>
    <mergeCell ref="K88:K92"/>
    <mergeCell ref="L88:L92"/>
    <mergeCell ref="K74:K78"/>
    <mergeCell ref="L74:L78"/>
    <mergeCell ref="K81:K85"/>
    <mergeCell ref="L81:L85"/>
    <mergeCell ref="K46:K50"/>
    <mergeCell ref="L46:L50"/>
    <mergeCell ref="L4:L8"/>
    <mergeCell ref="K53:K57"/>
    <mergeCell ref="L53:L57"/>
    <mergeCell ref="K60:K64"/>
    <mergeCell ref="L60:L64"/>
    <mergeCell ref="K67:K71"/>
    <mergeCell ref="L67:L71"/>
    <mergeCell ref="K11:K15"/>
    <mergeCell ref="L11:L15"/>
    <mergeCell ref="K18:K22"/>
    <mergeCell ref="L18:L22"/>
    <mergeCell ref="K25:K29"/>
    <mergeCell ref="L25:L29"/>
    <mergeCell ref="K32:K36"/>
    <mergeCell ref="L32:L36"/>
    <mergeCell ref="K39:K43"/>
    <mergeCell ref="K130:K134"/>
    <mergeCell ref="L130:L134"/>
    <mergeCell ref="K123:K127"/>
    <mergeCell ref="L123:L127"/>
    <mergeCell ref="K137:K141"/>
    <mergeCell ref="L137:L141"/>
    <mergeCell ref="K144:K148"/>
    <mergeCell ref="L144:L148"/>
    <mergeCell ref="K95:K99"/>
    <mergeCell ref="L95:L99"/>
    <mergeCell ref="K102:K106"/>
    <mergeCell ref="L102:L106"/>
    <mergeCell ref="K109:K113"/>
    <mergeCell ref="L109:L113"/>
    <mergeCell ref="K116:K120"/>
    <mergeCell ref="L116:L120"/>
    <mergeCell ref="K172:K176"/>
    <mergeCell ref="L172:L176"/>
    <mergeCell ref="K179:K183"/>
    <mergeCell ref="L179:L183"/>
    <mergeCell ref="K186:K190"/>
    <mergeCell ref="L186:L190"/>
    <mergeCell ref="K193:K197"/>
    <mergeCell ref="L193:L197"/>
    <mergeCell ref="K151:K155"/>
    <mergeCell ref="L151:L155"/>
    <mergeCell ref="K158:K162"/>
    <mergeCell ref="L158:L162"/>
    <mergeCell ref="K165:K169"/>
    <mergeCell ref="L165:L169"/>
    <mergeCell ref="K235:K239"/>
    <mergeCell ref="L235:L239"/>
    <mergeCell ref="K249:K253"/>
    <mergeCell ref="L249:L253"/>
    <mergeCell ref="K200:K204"/>
    <mergeCell ref="L200:L204"/>
    <mergeCell ref="K207:K211"/>
    <mergeCell ref="L207:L211"/>
    <mergeCell ref="K214:K218"/>
    <mergeCell ref="L214:L218"/>
    <mergeCell ref="K221:K225"/>
    <mergeCell ref="L221:L225"/>
    <mergeCell ref="K242:K246"/>
    <mergeCell ref="L242:L246"/>
    <mergeCell ref="K228:K232"/>
    <mergeCell ref="L228:L232"/>
    <mergeCell ref="L347:L351"/>
    <mergeCell ref="K291:K295"/>
    <mergeCell ref="L291:L295"/>
    <mergeCell ref="K298:K302"/>
    <mergeCell ref="L298:L302"/>
    <mergeCell ref="K305:K309"/>
    <mergeCell ref="L305:L309"/>
    <mergeCell ref="K312:K316"/>
    <mergeCell ref="L312:L316"/>
    <mergeCell ref="K326:K330"/>
    <mergeCell ref="L326:L330"/>
    <mergeCell ref="K319:K323"/>
    <mergeCell ref="L319:L323"/>
    <mergeCell ref="L39:L43"/>
    <mergeCell ref="K354:K358"/>
    <mergeCell ref="L354:L358"/>
    <mergeCell ref="K361:K365"/>
    <mergeCell ref="L361:L365"/>
    <mergeCell ref="K375:K379"/>
    <mergeCell ref="L375:L379"/>
    <mergeCell ref="K382:K386"/>
    <mergeCell ref="L382:L386"/>
    <mergeCell ref="K284:K288"/>
    <mergeCell ref="L284:L288"/>
    <mergeCell ref="K256:K260"/>
    <mergeCell ref="L256:L260"/>
    <mergeCell ref="K263:K267"/>
    <mergeCell ref="L263:L267"/>
    <mergeCell ref="K270:K274"/>
    <mergeCell ref="L270:L274"/>
    <mergeCell ref="K277:K281"/>
    <mergeCell ref="L277:L281"/>
    <mergeCell ref="K333:K337"/>
    <mergeCell ref="L333:L337"/>
    <mergeCell ref="K340:K344"/>
    <mergeCell ref="L340:L344"/>
    <mergeCell ref="K347:K351"/>
    <mergeCell ref="K389:K393"/>
    <mergeCell ref="L389:L393"/>
    <mergeCell ref="K368:K372"/>
    <mergeCell ref="L368:L372"/>
    <mergeCell ref="K396:K400"/>
    <mergeCell ref="L396:L400"/>
    <mergeCell ref="K403:K407"/>
    <mergeCell ref="L403:L407"/>
    <mergeCell ref="K410:K414"/>
    <mergeCell ref="L410:L414"/>
    <mergeCell ref="K417:K421"/>
    <mergeCell ref="L417:L421"/>
    <mergeCell ref="B374:C374"/>
    <mergeCell ref="B388:C388"/>
    <mergeCell ref="B402:C402"/>
    <mergeCell ref="B416:C416"/>
    <mergeCell ref="A375:A379"/>
    <mergeCell ref="B375:C375"/>
    <mergeCell ref="B376:C376"/>
    <mergeCell ref="B377:B379"/>
    <mergeCell ref="B381:C381"/>
    <mergeCell ref="A382:A386"/>
    <mergeCell ref="B382:C382"/>
    <mergeCell ref="B383:C383"/>
    <mergeCell ref="B384:B386"/>
    <mergeCell ref="A389:A393"/>
    <mergeCell ref="B389:C389"/>
    <mergeCell ref="B390:C390"/>
    <mergeCell ref="B391:B393"/>
    <mergeCell ref="B395:C395"/>
    <mergeCell ref="A396:A400"/>
    <mergeCell ref="B396:C396"/>
    <mergeCell ref="B397:C397"/>
    <mergeCell ref="B398:B400"/>
    <mergeCell ref="A403:A407"/>
    <mergeCell ref="B403:C403"/>
    <mergeCell ref="B404:C404"/>
    <mergeCell ref="B405:B407"/>
    <mergeCell ref="B409:C409"/>
    <mergeCell ref="A410:A414"/>
    <mergeCell ref="B410:C410"/>
    <mergeCell ref="B411:C411"/>
    <mergeCell ref="B412:B414"/>
    <mergeCell ref="A417:A421"/>
    <mergeCell ref="B417:C417"/>
    <mergeCell ref="B418:C418"/>
    <mergeCell ref="B419:B421"/>
    <mergeCell ref="B423:C423"/>
    <mergeCell ref="A424:A428"/>
    <mergeCell ref="B424:C424"/>
    <mergeCell ref="B425:C425"/>
    <mergeCell ref="B426:B428"/>
    <mergeCell ref="B430:C430"/>
    <mergeCell ref="A431:A435"/>
    <mergeCell ref="B431:C431"/>
    <mergeCell ref="B432:C432"/>
    <mergeCell ref="B433:B435"/>
    <mergeCell ref="B437:C437"/>
    <mergeCell ref="A438:A442"/>
    <mergeCell ref="B438:C438"/>
    <mergeCell ref="B439:C439"/>
    <mergeCell ref="B440:B442"/>
    <mergeCell ref="B444:C444"/>
    <mergeCell ref="A445:A449"/>
    <mergeCell ref="B445:C445"/>
    <mergeCell ref="B446:C446"/>
    <mergeCell ref="B447:B449"/>
    <mergeCell ref="B451:C451"/>
    <mergeCell ref="A452:A456"/>
    <mergeCell ref="B452:C452"/>
    <mergeCell ref="B453:C453"/>
    <mergeCell ref="B454:B456"/>
    <mergeCell ref="B458:C458"/>
    <mergeCell ref="A459:A463"/>
    <mergeCell ref="B459:C459"/>
    <mergeCell ref="B460:C460"/>
    <mergeCell ref="B461:B463"/>
    <mergeCell ref="B465:C465"/>
    <mergeCell ref="A466:A470"/>
    <mergeCell ref="B466:C466"/>
    <mergeCell ref="B467:C467"/>
    <mergeCell ref="B468:B470"/>
    <mergeCell ref="B472:C472"/>
    <mergeCell ref="A473:A477"/>
    <mergeCell ref="B473:C473"/>
    <mergeCell ref="B474:C474"/>
    <mergeCell ref="B475:B477"/>
    <mergeCell ref="B479:C479"/>
    <mergeCell ref="A480:A484"/>
    <mergeCell ref="B480:C480"/>
    <mergeCell ref="B481:C481"/>
    <mergeCell ref="B482:B484"/>
    <mergeCell ref="B486:C486"/>
    <mergeCell ref="A487:A491"/>
    <mergeCell ref="B487:C487"/>
    <mergeCell ref="B488:C488"/>
    <mergeCell ref="B489:B491"/>
    <mergeCell ref="B493:C493"/>
    <mergeCell ref="A494:A498"/>
    <mergeCell ref="B494:C494"/>
    <mergeCell ref="B495:C495"/>
    <mergeCell ref="B496:B498"/>
    <mergeCell ref="B500:C500"/>
    <mergeCell ref="A501:A505"/>
    <mergeCell ref="B501:C501"/>
    <mergeCell ref="B502:C502"/>
    <mergeCell ref="B503:B505"/>
    <mergeCell ref="B507:C507"/>
    <mergeCell ref="A508:A512"/>
    <mergeCell ref="B508:C508"/>
    <mergeCell ref="B509:C509"/>
    <mergeCell ref="B510:B512"/>
    <mergeCell ref="B514:C514"/>
    <mergeCell ref="A515:A519"/>
    <mergeCell ref="B515:C515"/>
    <mergeCell ref="B516:C516"/>
    <mergeCell ref="B517:B519"/>
    <mergeCell ref="B521:C521"/>
    <mergeCell ref="A522:A526"/>
    <mergeCell ref="B522:C522"/>
    <mergeCell ref="B523:C523"/>
    <mergeCell ref="B524:B526"/>
    <mergeCell ref="B528:C528"/>
    <mergeCell ref="A529:A533"/>
    <mergeCell ref="B529:C529"/>
    <mergeCell ref="B530:C530"/>
    <mergeCell ref="B531:B533"/>
    <mergeCell ref="B535:C535"/>
    <mergeCell ref="A536:A540"/>
    <mergeCell ref="B536:C536"/>
    <mergeCell ref="B537:C537"/>
    <mergeCell ref="B538:B540"/>
    <mergeCell ref="B542:C542"/>
    <mergeCell ref="A543:A547"/>
    <mergeCell ref="B543:C543"/>
    <mergeCell ref="B544:C544"/>
    <mergeCell ref="B545:B547"/>
    <mergeCell ref="B549:C549"/>
    <mergeCell ref="A550:A554"/>
    <mergeCell ref="B550:C550"/>
    <mergeCell ref="B551:C551"/>
    <mergeCell ref="B552:B554"/>
    <mergeCell ref="B556:C556"/>
    <mergeCell ref="A557:A561"/>
    <mergeCell ref="B557:C557"/>
    <mergeCell ref="B558:C558"/>
    <mergeCell ref="B559:B561"/>
    <mergeCell ref="B563:C563"/>
    <mergeCell ref="A564:A568"/>
    <mergeCell ref="B564:C564"/>
    <mergeCell ref="B565:C565"/>
    <mergeCell ref="B566:B568"/>
    <mergeCell ref="B570:C570"/>
    <mergeCell ref="A571:A575"/>
    <mergeCell ref="B571:C571"/>
    <mergeCell ref="B572:C572"/>
    <mergeCell ref="B573:B575"/>
    <mergeCell ref="B577:C577"/>
    <mergeCell ref="A578:A582"/>
    <mergeCell ref="B578:C578"/>
    <mergeCell ref="B579:C579"/>
    <mergeCell ref="B580:B582"/>
    <mergeCell ref="B584:C584"/>
    <mergeCell ref="A585:A589"/>
    <mergeCell ref="B585:C585"/>
    <mergeCell ref="B586:C586"/>
    <mergeCell ref="B587:B589"/>
    <mergeCell ref="B591:C591"/>
    <mergeCell ref="A592:A596"/>
    <mergeCell ref="B592:C592"/>
    <mergeCell ref="B593:C593"/>
    <mergeCell ref="B594:B596"/>
    <mergeCell ref="B598:C598"/>
    <mergeCell ref="A599:A603"/>
    <mergeCell ref="B599:C599"/>
    <mergeCell ref="B600:C600"/>
    <mergeCell ref="B601:B603"/>
    <mergeCell ref="B605:C605"/>
    <mergeCell ref="A606:A610"/>
    <mergeCell ref="B606:C606"/>
    <mergeCell ref="B607:C607"/>
    <mergeCell ref="B608:B610"/>
    <mergeCell ref="B612:C612"/>
    <mergeCell ref="A613:A617"/>
    <mergeCell ref="B613:C613"/>
    <mergeCell ref="B614:C614"/>
    <mergeCell ref="B615:B617"/>
    <mergeCell ref="B619:C619"/>
    <mergeCell ref="A620:A624"/>
    <mergeCell ref="B620:C620"/>
    <mergeCell ref="B621:C621"/>
    <mergeCell ref="B622:B624"/>
    <mergeCell ref="B640:C640"/>
    <mergeCell ref="A641:A645"/>
    <mergeCell ref="B641:C641"/>
    <mergeCell ref="B642:C642"/>
    <mergeCell ref="B643:B645"/>
    <mergeCell ref="B626:C626"/>
    <mergeCell ref="A627:A631"/>
    <mergeCell ref="B627:C627"/>
    <mergeCell ref="B628:C628"/>
    <mergeCell ref="B629:B631"/>
    <mergeCell ref="B633:C633"/>
    <mergeCell ref="A634:A638"/>
    <mergeCell ref="B634:C634"/>
    <mergeCell ref="B635:C635"/>
    <mergeCell ref="B636:B638"/>
  </mergeCells>
  <phoneticPr fontId="2" type="noConversion"/>
  <pageMargins left="0.78740157499999996" right="0.78740157499999996" top="0.45" bottom="0.28999999999999998" header="0.37" footer="0.37"/>
  <pageSetup paperSize="9" scale="58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F97"/>
  <sheetViews>
    <sheetView workbookViewId="0">
      <selection activeCell="A19" sqref="A19"/>
    </sheetView>
  </sheetViews>
  <sheetFormatPr defaultColWidth="0" defaultRowHeight="12.75" zeroHeight="1" x14ac:dyDescent="0.2"/>
  <cols>
    <col min="1" max="1" width="19" bestFit="1" customWidth="1"/>
    <col min="2" max="2" width="10.5703125" customWidth="1"/>
    <col min="3" max="3" width="56.140625" bestFit="1" customWidth="1"/>
    <col min="4" max="6" width="9.140625" customWidth="1"/>
    <col min="7" max="7" width="9.140625" hidden="1" customWidth="1"/>
    <col min="8" max="16384" width="9.140625" hidden="1"/>
  </cols>
  <sheetData>
    <row r="1" spans="1:6" ht="36.75" thickBot="1" x14ac:dyDescent="0.25">
      <c r="A1" s="24" t="s">
        <v>22</v>
      </c>
      <c r="B1" s="25" t="s">
        <v>19</v>
      </c>
      <c r="C1" s="25" t="s">
        <v>79</v>
      </c>
      <c r="D1" s="25" t="s">
        <v>23</v>
      </c>
      <c r="E1" s="25" t="s">
        <v>27</v>
      </c>
      <c r="F1" s="26" t="s">
        <v>28</v>
      </c>
    </row>
    <row r="2" spans="1:6" x14ac:dyDescent="0.2">
      <c r="A2" s="47"/>
      <c r="B2" s="48"/>
      <c r="C2" s="49"/>
      <c r="D2" s="48"/>
      <c r="E2" s="48"/>
      <c r="F2" s="42"/>
    </row>
    <row r="3" spans="1:6" x14ac:dyDescent="0.2">
      <c r="A3" s="47" t="s">
        <v>166</v>
      </c>
      <c r="B3" s="44" t="s">
        <v>31</v>
      </c>
      <c r="C3" s="234" t="s">
        <v>240</v>
      </c>
      <c r="D3" s="44" t="s">
        <v>25</v>
      </c>
      <c r="E3" s="44" t="s">
        <v>26</v>
      </c>
      <c r="F3" s="46" t="s">
        <v>26</v>
      </c>
    </row>
    <row r="4" spans="1:6" x14ac:dyDescent="0.2">
      <c r="A4" s="47" t="s">
        <v>225</v>
      </c>
      <c r="B4" s="48" t="s">
        <v>30</v>
      </c>
      <c r="C4" s="45" t="s">
        <v>218</v>
      </c>
      <c r="D4" s="48" t="s">
        <v>24</v>
      </c>
      <c r="E4" s="48" t="s">
        <v>75</v>
      </c>
      <c r="F4" s="42" t="s">
        <v>75</v>
      </c>
    </row>
    <row r="5" spans="1:6" x14ac:dyDescent="0.2">
      <c r="A5" s="47" t="s">
        <v>228</v>
      </c>
      <c r="B5" s="48" t="s">
        <v>29</v>
      </c>
      <c r="C5" s="49" t="s">
        <v>219</v>
      </c>
      <c r="D5" s="48" t="s">
        <v>143</v>
      </c>
      <c r="E5" s="48" t="s">
        <v>76</v>
      </c>
      <c r="F5" s="42" t="s">
        <v>76</v>
      </c>
    </row>
    <row r="6" spans="1:6" x14ac:dyDescent="0.2">
      <c r="A6" s="47" t="s">
        <v>199</v>
      </c>
      <c r="B6" s="48"/>
      <c r="C6" s="49" t="s">
        <v>220</v>
      </c>
      <c r="D6" s="48"/>
      <c r="E6" s="48"/>
      <c r="F6" s="42" t="s">
        <v>32</v>
      </c>
    </row>
    <row r="7" spans="1:6" x14ac:dyDescent="0.2">
      <c r="A7" s="47" t="s">
        <v>229</v>
      </c>
      <c r="B7" s="48"/>
      <c r="C7" s="49" t="s">
        <v>203</v>
      </c>
      <c r="D7" s="48"/>
      <c r="E7" s="48"/>
      <c r="F7" s="42"/>
    </row>
    <row r="8" spans="1:6" x14ac:dyDescent="0.2">
      <c r="A8" s="232" t="s">
        <v>230</v>
      </c>
      <c r="B8" s="48"/>
      <c r="C8" s="49" t="s">
        <v>204</v>
      </c>
      <c r="D8" s="48"/>
      <c r="E8" s="48"/>
      <c r="F8" s="42"/>
    </row>
    <row r="9" spans="1:6" x14ac:dyDescent="0.2">
      <c r="A9" s="47" t="s">
        <v>231</v>
      </c>
      <c r="B9" s="48"/>
      <c r="C9" s="49" t="s">
        <v>205</v>
      </c>
      <c r="D9" s="48"/>
      <c r="E9" s="48"/>
      <c r="F9" s="42"/>
    </row>
    <row r="10" spans="1:6" x14ac:dyDescent="0.2">
      <c r="A10" s="47" t="s">
        <v>232</v>
      </c>
      <c r="B10" s="48"/>
      <c r="C10" s="49" t="s">
        <v>206</v>
      </c>
      <c r="D10" s="48"/>
      <c r="E10" s="48"/>
      <c r="F10" s="42"/>
    </row>
    <row r="11" spans="1:6" x14ac:dyDescent="0.2">
      <c r="A11" s="47" t="s">
        <v>233</v>
      </c>
      <c r="B11" s="48"/>
      <c r="C11" s="49" t="s">
        <v>207</v>
      </c>
      <c r="D11" s="48"/>
      <c r="E11" s="48"/>
      <c r="F11" s="42"/>
    </row>
    <row r="12" spans="1:6" x14ac:dyDescent="0.2">
      <c r="A12" s="47" t="s">
        <v>234</v>
      </c>
      <c r="B12" s="48"/>
      <c r="C12" s="49" t="s">
        <v>208</v>
      </c>
      <c r="D12" s="48"/>
      <c r="E12" s="48"/>
      <c r="F12" s="42"/>
    </row>
    <row r="13" spans="1:6" x14ac:dyDescent="0.2">
      <c r="A13" s="47" t="s">
        <v>236</v>
      </c>
      <c r="B13" s="48"/>
      <c r="C13" s="49" t="s">
        <v>209</v>
      </c>
      <c r="D13" s="48"/>
      <c r="E13" s="48"/>
      <c r="F13" s="42"/>
    </row>
    <row r="14" spans="1:6" x14ac:dyDescent="0.2">
      <c r="A14" s="47" t="s">
        <v>214</v>
      </c>
      <c r="B14" s="48"/>
      <c r="C14" s="49" t="s">
        <v>210</v>
      </c>
      <c r="D14" s="48"/>
      <c r="E14" s="48"/>
      <c r="F14" s="42"/>
    </row>
    <row r="15" spans="1:6" x14ac:dyDescent="0.2">
      <c r="A15" s="47" t="s">
        <v>235</v>
      </c>
      <c r="B15" s="48"/>
      <c r="C15" s="49" t="s">
        <v>221</v>
      </c>
      <c r="D15" s="48"/>
      <c r="E15" s="48"/>
      <c r="F15" s="42"/>
    </row>
    <row r="16" spans="1:6" x14ac:dyDescent="0.2">
      <c r="A16" s="233" t="s">
        <v>237</v>
      </c>
      <c r="B16" s="48"/>
      <c r="D16" s="48"/>
      <c r="E16" s="48"/>
      <c r="F16" s="42"/>
    </row>
    <row r="17" spans="1:6" x14ac:dyDescent="0.2">
      <c r="A17" s="47" t="s">
        <v>241</v>
      </c>
      <c r="B17" s="48"/>
      <c r="C17" s="234" t="s">
        <v>239</v>
      </c>
      <c r="D17" s="48"/>
      <c r="E17" s="48"/>
      <c r="F17" s="42"/>
    </row>
    <row r="18" spans="1:6" x14ac:dyDescent="0.2">
      <c r="A18" s="47"/>
      <c r="B18" s="48"/>
      <c r="C18" s="49" t="s">
        <v>222</v>
      </c>
      <c r="D18" s="48"/>
      <c r="E18" s="48"/>
      <c r="F18" s="42"/>
    </row>
    <row r="19" spans="1:6" x14ac:dyDescent="0.2">
      <c r="A19" s="47"/>
      <c r="B19" s="48"/>
      <c r="C19" s="49" t="s">
        <v>223</v>
      </c>
      <c r="D19" s="48"/>
      <c r="E19" s="48"/>
      <c r="F19" s="42"/>
    </row>
    <row r="20" spans="1:6" x14ac:dyDescent="0.2">
      <c r="A20" s="47"/>
      <c r="B20" s="48"/>
      <c r="C20" s="49" t="s">
        <v>224</v>
      </c>
      <c r="D20" s="48"/>
      <c r="E20" s="48"/>
      <c r="F20" s="42"/>
    </row>
    <row r="21" spans="1:6" x14ac:dyDescent="0.2">
      <c r="A21" s="47"/>
      <c r="B21" s="48"/>
      <c r="C21" s="49" t="s">
        <v>221</v>
      </c>
      <c r="D21" s="48"/>
      <c r="E21" s="48"/>
      <c r="F21" s="42"/>
    </row>
    <row r="22" spans="1:6" x14ac:dyDescent="0.2">
      <c r="A22" s="47"/>
      <c r="B22" s="48"/>
      <c r="C22" s="49" t="s">
        <v>238</v>
      </c>
      <c r="D22" s="48"/>
      <c r="E22" s="48"/>
      <c r="F22" s="42"/>
    </row>
    <row r="23" spans="1:6" hidden="1" x14ac:dyDescent="0.2"/>
    <row r="24" spans="1:6" hidden="1" x14ac:dyDescent="0.2"/>
    <row r="25" spans="1:6" hidden="1" x14ac:dyDescent="0.2"/>
    <row r="26" spans="1:6" hidden="1" x14ac:dyDescent="0.2"/>
    <row r="27" spans="1:6" hidden="1" x14ac:dyDescent="0.2"/>
    <row r="28" spans="1:6" hidden="1" x14ac:dyDescent="0.2"/>
    <row r="29" spans="1:6" hidden="1" x14ac:dyDescent="0.2"/>
    <row r="30" spans="1:6" hidden="1" x14ac:dyDescent="0.2"/>
    <row r="31" spans="1:6" hidden="1" x14ac:dyDescent="0.2"/>
    <row r="32" spans="1:6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</sheetData>
  <sortState ref="C2:C95">
    <sortCondition ref="C1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B1:E29"/>
  <sheetViews>
    <sheetView showGridLines="0" workbookViewId="0">
      <selection activeCell="D17" sqref="D17"/>
    </sheetView>
  </sheetViews>
  <sheetFormatPr defaultRowHeight="12.75" x14ac:dyDescent="0.2"/>
  <cols>
    <col min="1" max="1" width="3" customWidth="1"/>
    <col min="3" max="3" width="12.7109375" bestFit="1" customWidth="1"/>
    <col min="4" max="4" width="24.42578125" customWidth="1"/>
    <col min="5" max="5" width="57.140625" customWidth="1"/>
  </cols>
  <sheetData>
    <row r="1" spans="2:5" ht="18.75" x14ac:dyDescent="0.3">
      <c r="B1" s="69" t="s">
        <v>66</v>
      </c>
      <c r="C1" s="70"/>
      <c r="D1" s="70"/>
      <c r="E1" s="70"/>
    </row>
    <row r="2" spans="2:5" x14ac:dyDescent="0.2">
      <c r="B2" s="377" t="s">
        <v>73</v>
      </c>
      <c r="C2" s="377"/>
      <c r="D2" s="377"/>
      <c r="E2" s="377"/>
    </row>
    <row r="3" spans="2:5" x14ac:dyDescent="0.2">
      <c r="B3" s="147"/>
      <c r="C3" s="147"/>
      <c r="D3" s="147"/>
      <c r="E3" s="147"/>
    </row>
    <row r="4" spans="2:5" x14ac:dyDescent="0.2">
      <c r="B4" s="71" t="s">
        <v>67</v>
      </c>
      <c r="C4" s="70"/>
      <c r="D4" s="70"/>
      <c r="E4" s="70"/>
    </row>
    <row r="5" spans="2:5" ht="16.5" thickBot="1" x14ac:dyDescent="0.3">
      <c r="B5" s="72"/>
      <c r="C5" s="70"/>
      <c r="D5" s="70"/>
      <c r="E5" s="70"/>
    </row>
    <row r="6" spans="2:5" ht="15" x14ac:dyDescent="0.2">
      <c r="B6" s="148" t="s">
        <v>68</v>
      </c>
      <c r="C6" s="149" t="s">
        <v>69</v>
      </c>
      <c r="D6" s="149" t="s">
        <v>70</v>
      </c>
      <c r="E6" s="150" t="s">
        <v>71</v>
      </c>
    </row>
    <row r="7" spans="2:5" ht="16.5" x14ac:dyDescent="0.2">
      <c r="B7" s="153" t="s">
        <v>125</v>
      </c>
      <c r="C7" s="151">
        <v>42111</v>
      </c>
      <c r="D7" s="152" t="s">
        <v>118</v>
      </c>
      <c r="E7" s="154" t="s">
        <v>137</v>
      </c>
    </row>
    <row r="8" spans="2:5" ht="16.5" x14ac:dyDescent="0.2">
      <c r="B8" s="153" t="s">
        <v>189</v>
      </c>
      <c r="C8" s="151">
        <v>42402</v>
      </c>
      <c r="D8" s="152" t="s">
        <v>190</v>
      </c>
      <c r="E8" s="154" t="s">
        <v>191</v>
      </c>
    </row>
    <row r="9" spans="2:5" ht="16.5" x14ac:dyDescent="0.2">
      <c r="B9" s="153"/>
      <c r="C9" s="151"/>
      <c r="D9" s="152"/>
      <c r="E9" s="154"/>
    </row>
    <row r="10" spans="2:5" ht="16.5" x14ac:dyDescent="0.2">
      <c r="B10" s="153"/>
      <c r="C10" s="151"/>
      <c r="D10" s="152"/>
      <c r="E10" s="154"/>
    </row>
    <row r="11" spans="2:5" ht="16.5" x14ac:dyDescent="0.2">
      <c r="B11" s="153"/>
      <c r="C11" s="151"/>
      <c r="D11" s="152"/>
      <c r="E11" s="154"/>
    </row>
    <row r="12" spans="2:5" ht="16.5" x14ac:dyDescent="0.2">
      <c r="B12" s="153"/>
      <c r="C12" s="151"/>
      <c r="D12" s="152"/>
      <c r="E12" s="154"/>
    </row>
    <row r="13" spans="2:5" ht="17.25" thickBot="1" x14ac:dyDescent="0.25">
      <c r="B13" s="155"/>
      <c r="C13" s="156"/>
      <c r="D13" s="157"/>
      <c r="E13" s="158"/>
    </row>
    <row r="14" spans="2:5" ht="16.5" x14ac:dyDescent="0.3">
      <c r="B14" s="73"/>
      <c r="C14" s="70"/>
      <c r="D14" s="70"/>
      <c r="E14" s="70"/>
    </row>
    <row r="15" spans="2:5" ht="16.5" x14ac:dyDescent="0.3">
      <c r="B15" s="73"/>
      <c r="C15" s="70"/>
      <c r="D15" s="70"/>
      <c r="E15" s="70"/>
    </row>
    <row r="16" spans="2:5" ht="16.5" x14ac:dyDescent="0.3">
      <c r="B16" s="73"/>
      <c r="C16" s="70"/>
      <c r="D16" s="70"/>
      <c r="E16" s="70"/>
    </row>
    <row r="17" spans="2:5" ht="16.5" x14ac:dyDescent="0.3">
      <c r="B17" s="73"/>
      <c r="C17" s="70"/>
      <c r="D17" s="70"/>
      <c r="E17" s="70"/>
    </row>
    <row r="27" spans="2:5" x14ac:dyDescent="0.2">
      <c r="B27" s="74" t="s">
        <v>72</v>
      </c>
      <c r="C27" s="75"/>
      <c r="D27" s="75"/>
      <c r="E27" s="75"/>
    </row>
    <row r="28" spans="2:5" ht="15" x14ac:dyDescent="0.2">
      <c r="B28" s="141" t="s">
        <v>68</v>
      </c>
      <c r="C28" s="141" t="s">
        <v>69</v>
      </c>
      <c r="D28" s="141" t="s">
        <v>70</v>
      </c>
      <c r="E28" s="141" t="s">
        <v>71</v>
      </c>
    </row>
    <row r="29" spans="2:5" ht="16.5" x14ac:dyDescent="0.2">
      <c r="B29" s="80" t="s">
        <v>125</v>
      </c>
      <c r="C29" s="77">
        <v>42111</v>
      </c>
      <c r="D29" s="78" t="s">
        <v>118</v>
      </c>
      <c r="E29" s="78" t="s">
        <v>138</v>
      </c>
    </row>
  </sheetData>
  <mergeCells count="1">
    <mergeCell ref="B2:E2"/>
  </mergeCells>
  <phoneticPr fontId="2" type="noConversion"/>
  <pageMargins left="0.78740157499999996" right="0.78740157499999996" top="0.984251969" bottom="0.984251969" header="0.5" footer="0.5"/>
  <pageSetup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BCAE26CE7B7E40BBCE16536F4D7B3E" ma:contentTypeVersion="3" ma:contentTypeDescription="Create a new document." ma:contentTypeScope="" ma:versionID="53b2abd9cc48aa228da0630b5106cb6e">
  <xsd:schema xmlns:xsd="http://www.w3.org/2001/XMLSchema" xmlns:xs="http://www.w3.org/2001/XMLSchema" xmlns:p="http://schemas.microsoft.com/office/2006/metadata/properties" xmlns:ns3="3da11d8f-1f77-44bc-a3aa-b36f92b806a3" targetNamespace="http://schemas.microsoft.com/office/2006/metadata/properties" ma:root="true" ma:fieldsID="27ab87957114c3fc47a84e8d408affc1" ns3:_="">
    <xsd:import namespace="3da11d8f-1f77-44bc-a3aa-b36f92b806a3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1d8f-1f77-44bc-a3aa-b36f92b806a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650F10E-6271-4061-8C14-CF5E563BE5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1d8f-1f77-44bc-a3aa-b36f92b806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E61144-01D7-4BB4-AA80-B2EE29E6B03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41E3E3-9D89-4358-809B-0410B815C785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3da11d8f-1f77-44bc-a3aa-b36f92b806a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Sumário</vt:lpstr>
      <vt:lpstr>Detalhamento</vt:lpstr>
      <vt:lpstr>Avaliação</vt:lpstr>
      <vt:lpstr>RESUMO-CLIENTE</vt:lpstr>
      <vt:lpstr>Checklist</vt:lpstr>
      <vt:lpstr>Fatores</vt:lpstr>
      <vt:lpstr>Fatores por tecnologia</vt:lpstr>
      <vt:lpstr>Configs</vt:lpstr>
      <vt:lpstr>Log de Alterações</vt:lpstr>
      <vt:lpstr>complex_alt</vt:lpstr>
      <vt:lpstr>complex_prog</vt:lpstr>
      <vt:lpstr>esforco</vt:lpstr>
      <vt:lpstr>Fator</vt:lpstr>
      <vt:lpstr>obs</vt:lpstr>
      <vt:lpstr>Sistema</vt:lpstr>
      <vt:lpstr>Tipo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elias.seade</dc:creator>
  <cp:lastModifiedBy>Cidade, Higor de A.</cp:lastModifiedBy>
  <cp:lastPrinted>2007-05-17T19:48:42Z</cp:lastPrinted>
  <dcterms:created xsi:type="dcterms:W3CDTF">2007-03-09T20:34:28Z</dcterms:created>
  <dcterms:modified xsi:type="dcterms:W3CDTF">2017-03-29T18:00:39Z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">
    <vt:lpwstr>Document</vt:lpwstr>
  </property>
  <property fmtid="{D5CDD505-2E9C-101B-9397-08002B2CF9AE}" pid="4" name="ContentTypeId">
    <vt:lpwstr>0x010100BBBCAE26CE7B7E40BBCE16536F4D7B3E</vt:lpwstr>
  </property>
</Properties>
</file>